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eletronenergycombr-my.sharepoint.com/personal/ray_salvador_eletronenergy_com_br/Documents/Área de Trabalho/Controller/Orçamento 2027/Envios Gestores/"/>
    </mc:Choice>
  </mc:AlternateContent>
  <xr:revisionPtr revIDLastSave="0" documentId="8_{13F6E87E-DAE0-41EF-93FA-1535EFA2987C}" xr6:coauthVersionLast="47" xr6:coauthVersionMax="47" xr10:uidLastSave="{00000000-0000-0000-0000-000000000000}"/>
  <bookViews>
    <workbookView xWindow="-110" yWindow="-110" windowWidth="19420" windowHeight="11500" firstSheet="3" activeTab="3" xr2:uid="{0AE2CF72-0A09-4659-A01A-45E3FB717C97}"/>
  </bookViews>
  <sheets>
    <sheet name="Apoio" sheetId="6" state="hidden" r:id="rId1"/>
    <sheet name="De x Para DRE" sheetId="7" state="hidden" r:id="rId2"/>
    <sheet name="Resumo" sheetId="9" r:id="rId3"/>
    <sheet name="Orçamento 2027 - G&amp;A" sheetId="8" r:id="rId4"/>
    <sheet name="Contratos" sheetId="10" r:id="rId5"/>
  </sheets>
  <definedNames>
    <definedName name="_xlnm._FilterDatabase" localSheetId="0" hidden="1">Apoio!$J$2:$M$81</definedName>
    <definedName name="_xlnm._FilterDatabase" localSheetId="1" hidden="1">'De x Para DRE'!$B$2:$E$210</definedName>
    <definedName name="_xlnm._FilterDatabase" localSheetId="3" hidden="1">'Orçamento 2027 - G&amp;A'!$A$7:$BB$56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X68" i="8" l="1"/>
  <c r="AC68" i="8"/>
  <c r="AB68" i="8"/>
  <c r="AJ68" i="8" s="1"/>
  <c r="V68" i="8"/>
  <c r="U68" i="8"/>
  <c r="T68" i="8"/>
  <c r="S68" i="8"/>
  <c r="R68" i="8"/>
  <c r="Q68" i="8"/>
  <c r="P68" i="8"/>
  <c r="O68" i="8"/>
  <c r="N68" i="8"/>
  <c r="G68" i="8"/>
  <c r="I68" i="8" s="1"/>
  <c r="F68" i="8"/>
  <c r="E68" i="8"/>
  <c r="C68" i="8"/>
  <c r="A68" i="8"/>
  <c r="AX67" i="8"/>
  <c r="AC67" i="8"/>
  <c r="AB67" i="8"/>
  <c r="AJ67" i="8" s="1"/>
  <c r="V67" i="8"/>
  <c r="U67" i="8"/>
  <c r="T67" i="8"/>
  <c r="S67" i="8"/>
  <c r="R67" i="8"/>
  <c r="Q67" i="8"/>
  <c r="P67" i="8"/>
  <c r="O67" i="8"/>
  <c r="N67" i="8"/>
  <c r="G67" i="8"/>
  <c r="I67" i="8" s="1"/>
  <c r="F67" i="8"/>
  <c r="E67" i="8"/>
  <c r="C67" i="8"/>
  <c r="A67" i="8"/>
  <c r="AX66" i="8"/>
  <c r="AC66" i="8"/>
  <c r="AB66" i="8"/>
  <c r="AJ66" i="8" s="1"/>
  <c r="V66" i="8"/>
  <c r="U66" i="8"/>
  <c r="T66" i="8"/>
  <c r="S66" i="8"/>
  <c r="R66" i="8"/>
  <c r="Q66" i="8"/>
  <c r="P66" i="8"/>
  <c r="O66" i="8"/>
  <c r="N66" i="8"/>
  <c r="G66" i="8"/>
  <c r="I66" i="8" s="1"/>
  <c r="F66" i="8"/>
  <c r="E66" i="8"/>
  <c r="C66" i="8"/>
  <c r="A66" i="8"/>
  <c r="G65" i="8"/>
  <c r="AX65" i="8"/>
  <c r="Y65" i="8"/>
  <c r="I65" i="8"/>
  <c r="F65" i="8"/>
  <c r="E65" i="8"/>
  <c r="C65" i="8"/>
  <c r="A65" i="8"/>
  <c r="AX64" i="8"/>
  <c r="Y64" i="8"/>
  <c r="G64" i="8"/>
  <c r="I64" i="8" s="1"/>
  <c r="F64" i="8"/>
  <c r="E64" i="8"/>
  <c r="C64" i="8"/>
  <c r="A64" i="8"/>
  <c r="AX63" i="8"/>
  <c r="AC63" i="8"/>
  <c r="AB63" i="8"/>
  <c r="AJ63" i="8" s="1"/>
  <c r="V63" i="8"/>
  <c r="U63" i="8"/>
  <c r="T63" i="8"/>
  <c r="S63" i="8"/>
  <c r="R63" i="8"/>
  <c r="Q63" i="8"/>
  <c r="P63" i="8"/>
  <c r="O63" i="8"/>
  <c r="N63" i="8"/>
  <c r="G63" i="8"/>
  <c r="I63" i="8" s="1"/>
  <c r="F63" i="8"/>
  <c r="E63" i="8"/>
  <c r="C63" i="8"/>
  <c r="A63" i="8"/>
  <c r="AX62" i="8"/>
  <c r="AC62" i="8"/>
  <c r="AB62" i="8"/>
  <c r="AJ62" i="8" s="1"/>
  <c r="V62" i="8"/>
  <c r="U62" i="8"/>
  <c r="T62" i="8"/>
  <c r="S62" i="8"/>
  <c r="R62" i="8"/>
  <c r="Q62" i="8"/>
  <c r="P62" i="8"/>
  <c r="O62" i="8"/>
  <c r="N62" i="8"/>
  <c r="G62" i="8"/>
  <c r="I62" i="8" s="1"/>
  <c r="F62" i="8"/>
  <c r="E62" i="8"/>
  <c r="C62" i="8"/>
  <c r="A62" i="8"/>
  <c r="G61" i="8"/>
  <c r="AX61" i="8"/>
  <c r="AC61" i="8"/>
  <c r="AB61" i="8"/>
  <c r="AJ61" i="8" s="1"/>
  <c r="V61" i="8"/>
  <c r="U61" i="8"/>
  <c r="T61" i="8"/>
  <c r="S61" i="8"/>
  <c r="R61" i="8"/>
  <c r="Q61" i="8"/>
  <c r="P61" i="8"/>
  <c r="O61" i="8"/>
  <c r="N61" i="8"/>
  <c r="I61" i="8"/>
  <c r="F61" i="8"/>
  <c r="E61" i="8"/>
  <c r="C61" i="8"/>
  <c r="A61" i="8"/>
  <c r="AX60" i="8"/>
  <c r="AC60" i="8"/>
  <c r="AB60" i="8"/>
  <c r="AJ60" i="8" s="1"/>
  <c r="V60" i="8"/>
  <c r="U60" i="8"/>
  <c r="T60" i="8"/>
  <c r="S60" i="8"/>
  <c r="R60" i="8"/>
  <c r="Q60" i="8"/>
  <c r="P60" i="8"/>
  <c r="O60" i="8"/>
  <c r="N60" i="8"/>
  <c r="G60" i="8"/>
  <c r="I60" i="8" s="1"/>
  <c r="F60" i="8"/>
  <c r="E60" i="8"/>
  <c r="C60" i="8"/>
  <c r="A60" i="8"/>
  <c r="AX59" i="8"/>
  <c r="Y59" i="8"/>
  <c r="G59" i="8"/>
  <c r="I59" i="8" s="1"/>
  <c r="F59" i="8"/>
  <c r="E59" i="8"/>
  <c r="C59" i="8"/>
  <c r="A59" i="8"/>
  <c r="AX58" i="8"/>
  <c r="AJ58" i="8"/>
  <c r="G58" i="8"/>
  <c r="I58" i="8" s="1"/>
  <c r="F58" i="8"/>
  <c r="E58" i="8"/>
  <c r="C58" i="8"/>
  <c r="A58" i="8"/>
  <c r="AX52" i="8"/>
  <c r="AX54" i="8"/>
  <c r="AX51" i="8"/>
  <c r="AX50" i="8"/>
  <c r="AX49" i="8"/>
  <c r="AX45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J7" i="10"/>
  <c r="J20" i="10"/>
  <c r="J2" i="10"/>
  <c r="J3" i="10"/>
  <c r="J4" i="10"/>
  <c r="J6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1" i="10"/>
  <c r="J22" i="10"/>
  <c r="J23" i="10"/>
  <c r="J24" i="10"/>
  <c r="J25" i="10"/>
  <c r="J26" i="10"/>
  <c r="J27" i="10"/>
  <c r="J28" i="10"/>
  <c r="J29" i="10"/>
  <c r="J30" i="10"/>
  <c r="AX56" i="8"/>
  <c r="AX55" i="8"/>
  <c r="AX53" i="8"/>
  <c r="AX48" i="8"/>
  <c r="AX47" i="8"/>
  <c r="AX46" i="8"/>
  <c r="AX44" i="8"/>
  <c r="AX43" i="8"/>
  <c r="AX42" i="8"/>
  <c r="AX41" i="8"/>
  <c r="AX40" i="8"/>
  <c r="AX39" i="8"/>
  <c r="AX38" i="8"/>
  <c r="AX37" i="8"/>
  <c r="AX36" i="8"/>
  <c r="AX35" i="8"/>
  <c r="AX34" i="8"/>
  <c r="AX33" i="8"/>
  <c r="AX32" i="8"/>
  <c r="AX31" i="8"/>
  <c r="AX30" i="8"/>
  <c r="AX29" i="8"/>
  <c r="AX28" i="8"/>
  <c r="AX27" i="8"/>
  <c r="AX26" i="8"/>
  <c r="AX25" i="8"/>
  <c r="AX24" i="8"/>
  <c r="AX23" i="8"/>
  <c r="AX22" i="8"/>
  <c r="AX21" i="8"/>
  <c r="AX20" i="8"/>
  <c r="AX19" i="8"/>
  <c r="AX18" i="8"/>
  <c r="AX17" i="8"/>
  <c r="AX16" i="8"/>
  <c r="AX15" i="8"/>
  <c r="AX14" i="8"/>
  <c r="AX13" i="8"/>
  <c r="AX12" i="8"/>
  <c r="AX11" i="8"/>
  <c r="AX10" i="8"/>
  <c r="AX9" i="8"/>
  <c r="E84" i="9"/>
  <c r="D84" i="9"/>
  <c r="C84" i="9"/>
  <c r="E83" i="9"/>
  <c r="D83" i="9"/>
  <c r="C83" i="9"/>
  <c r="E82" i="9"/>
  <c r="D82" i="9"/>
  <c r="C82" i="9"/>
  <c r="E81" i="9"/>
  <c r="D81" i="9"/>
  <c r="C81" i="9"/>
  <c r="E80" i="9"/>
  <c r="D80" i="9"/>
  <c r="C80" i="9"/>
  <c r="E79" i="9"/>
  <c r="D79" i="9"/>
  <c r="C79" i="9"/>
  <c r="E78" i="9"/>
  <c r="D78" i="9"/>
  <c r="C78" i="9"/>
  <c r="E77" i="9"/>
  <c r="D77" i="9"/>
  <c r="C77" i="9"/>
  <c r="E76" i="9"/>
  <c r="D76" i="9"/>
  <c r="C76" i="9"/>
  <c r="E75" i="9"/>
  <c r="D75" i="9"/>
  <c r="C75" i="9"/>
  <c r="E74" i="9"/>
  <c r="D74" i="9"/>
  <c r="C74" i="9"/>
  <c r="E73" i="9"/>
  <c r="D73" i="9"/>
  <c r="C73" i="9"/>
  <c r="E72" i="9"/>
  <c r="D72" i="9"/>
  <c r="C72" i="9"/>
  <c r="E71" i="9"/>
  <c r="D71" i="9"/>
  <c r="C71" i="9"/>
  <c r="E70" i="9"/>
  <c r="D70" i="9"/>
  <c r="C70" i="9"/>
  <c r="E69" i="9"/>
  <c r="D69" i="9"/>
  <c r="C69" i="9"/>
  <c r="E68" i="9"/>
  <c r="D68" i="9"/>
  <c r="C68" i="9"/>
  <c r="E67" i="9"/>
  <c r="D67" i="9"/>
  <c r="C67" i="9"/>
  <c r="E66" i="9"/>
  <c r="D66" i="9"/>
  <c r="C66" i="9"/>
  <c r="E65" i="9"/>
  <c r="D65" i="9"/>
  <c r="C65" i="9"/>
  <c r="E64" i="9"/>
  <c r="D64" i="9"/>
  <c r="C64" i="9"/>
  <c r="E63" i="9"/>
  <c r="D63" i="9"/>
  <c r="C63" i="9"/>
  <c r="E62" i="9"/>
  <c r="D62" i="9"/>
  <c r="C62" i="9"/>
  <c r="E61" i="9"/>
  <c r="D61" i="9"/>
  <c r="C61" i="9"/>
  <c r="E60" i="9"/>
  <c r="D60" i="9"/>
  <c r="C60" i="9"/>
  <c r="E59" i="9"/>
  <c r="D59" i="9"/>
  <c r="C59" i="9"/>
  <c r="E58" i="9"/>
  <c r="D58" i="9"/>
  <c r="C58" i="9"/>
  <c r="E57" i="9"/>
  <c r="D57" i="9"/>
  <c r="C57" i="9"/>
  <c r="E56" i="9"/>
  <c r="D56" i="9"/>
  <c r="C56" i="9"/>
  <c r="E55" i="9"/>
  <c r="D55" i="9"/>
  <c r="C55" i="9"/>
  <c r="E54" i="9"/>
  <c r="D54" i="9"/>
  <c r="C54" i="9"/>
  <c r="E53" i="9"/>
  <c r="D53" i="9"/>
  <c r="C53" i="9"/>
  <c r="E52" i="9"/>
  <c r="D52" i="9"/>
  <c r="C52" i="9"/>
  <c r="E51" i="9"/>
  <c r="D51" i="9"/>
  <c r="C51" i="9"/>
  <c r="E50" i="9"/>
  <c r="D50" i="9"/>
  <c r="C50" i="9"/>
  <c r="E49" i="9"/>
  <c r="D49" i="9"/>
  <c r="C49" i="9"/>
  <c r="E48" i="9"/>
  <c r="D48" i="9"/>
  <c r="C48" i="9"/>
  <c r="E47" i="9"/>
  <c r="D47" i="9"/>
  <c r="C47" i="9"/>
  <c r="E46" i="9"/>
  <c r="D46" i="9"/>
  <c r="C46" i="9"/>
  <c r="E45" i="9"/>
  <c r="D45" i="9"/>
  <c r="C45" i="9"/>
  <c r="E44" i="9"/>
  <c r="D44" i="9"/>
  <c r="C44" i="9"/>
  <c r="E43" i="9"/>
  <c r="D43" i="9"/>
  <c r="C43" i="9"/>
  <c r="E42" i="9"/>
  <c r="D42" i="9"/>
  <c r="C42" i="9"/>
  <c r="E41" i="9"/>
  <c r="D41" i="9"/>
  <c r="C41" i="9"/>
  <c r="E40" i="9"/>
  <c r="D40" i="9"/>
  <c r="C40" i="9"/>
  <c r="E39" i="9"/>
  <c r="D39" i="9"/>
  <c r="C39" i="9"/>
  <c r="E38" i="9"/>
  <c r="D38" i="9"/>
  <c r="C38" i="9"/>
  <c r="E37" i="9"/>
  <c r="D37" i="9"/>
  <c r="C37" i="9"/>
  <c r="E36" i="9"/>
  <c r="D36" i="9"/>
  <c r="C36" i="9"/>
  <c r="E35" i="9"/>
  <c r="D35" i="9"/>
  <c r="C35" i="9"/>
  <c r="E34" i="9"/>
  <c r="D34" i="9"/>
  <c r="C34" i="9"/>
  <c r="E33" i="9"/>
  <c r="D33" i="9"/>
  <c r="C33" i="9"/>
  <c r="E32" i="9"/>
  <c r="D32" i="9"/>
  <c r="C32" i="9"/>
  <c r="E31" i="9"/>
  <c r="D31" i="9"/>
  <c r="C31" i="9"/>
  <c r="E30" i="9"/>
  <c r="D30" i="9"/>
  <c r="C30" i="9"/>
  <c r="E29" i="9"/>
  <c r="D29" i="9"/>
  <c r="C29" i="9"/>
  <c r="E28" i="9"/>
  <c r="D28" i="9"/>
  <c r="C28" i="9"/>
  <c r="E27" i="9"/>
  <c r="D27" i="9"/>
  <c r="C27" i="9"/>
  <c r="E26" i="9"/>
  <c r="D26" i="9"/>
  <c r="C26" i="9"/>
  <c r="E25" i="9"/>
  <c r="D25" i="9"/>
  <c r="C25" i="9"/>
  <c r="E24" i="9"/>
  <c r="D24" i="9"/>
  <c r="C24" i="9"/>
  <c r="E23" i="9"/>
  <c r="D23" i="9"/>
  <c r="C23" i="9"/>
  <c r="E22" i="9"/>
  <c r="D22" i="9"/>
  <c r="C22" i="9"/>
  <c r="E21" i="9"/>
  <c r="D21" i="9"/>
  <c r="C21" i="9"/>
  <c r="E20" i="9"/>
  <c r="D20" i="9"/>
  <c r="C20" i="9"/>
  <c r="E19" i="9"/>
  <c r="D19" i="9"/>
  <c r="C19" i="9"/>
  <c r="E18" i="9"/>
  <c r="D18" i="9"/>
  <c r="C18" i="9"/>
  <c r="E17" i="9"/>
  <c r="D17" i="9"/>
  <c r="C17" i="9"/>
  <c r="E16" i="9"/>
  <c r="D16" i="9"/>
  <c r="C16" i="9"/>
  <c r="E15" i="9"/>
  <c r="D15" i="9"/>
  <c r="C15" i="9"/>
  <c r="E14" i="9"/>
  <c r="D14" i="9"/>
  <c r="C14" i="9"/>
  <c r="E13" i="9"/>
  <c r="D13" i="9"/>
  <c r="C13" i="9"/>
  <c r="E12" i="9"/>
  <c r="D12" i="9"/>
  <c r="C12" i="9"/>
  <c r="E11" i="9"/>
  <c r="D11" i="9"/>
  <c r="C11" i="9"/>
  <c r="E10" i="9"/>
  <c r="D10" i="9"/>
  <c r="C10" i="9"/>
  <c r="E9" i="9"/>
  <c r="D9" i="9"/>
  <c r="C9" i="9"/>
  <c r="E8" i="9"/>
  <c r="D8" i="9"/>
  <c r="C8" i="9"/>
  <c r="E7" i="9"/>
  <c r="D7" i="9"/>
  <c r="C7" i="9"/>
  <c r="AZ68" i="8" l="1"/>
  <c r="AY68" i="8"/>
  <c r="AZ67" i="8"/>
  <c r="AY67" i="8"/>
  <c r="AZ66" i="8"/>
  <c r="AY66" i="8"/>
  <c r="AJ65" i="8"/>
  <c r="AZ65" i="8"/>
  <c r="AY65" i="8"/>
  <c r="AJ64" i="8"/>
  <c r="AZ64" i="8"/>
  <c r="AY64" i="8"/>
  <c r="AZ63" i="8"/>
  <c r="AY63" i="8"/>
  <c r="AZ62" i="8"/>
  <c r="AY62" i="8"/>
  <c r="AZ61" i="8"/>
  <c r="AY61" i="8"/>
  <c r="AZ60" i="8"/>
  <c r="AY60" i="8"/>
  <c r="AJ59" i="8"/>
  <c r="AZ59" i="8"/>
  <c r="AY59" i="8"/>
  <c r="AZ58" i="8"/>
  <c r="AY58" i="8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AK56" i="8"/>
  <c r="AZ56" i="8" s="1"/>
  <c r="AJ56" i="8"/>
  <c r="W56" i="8"/>
  <c r="AY56" i="8" s="1"/>
  <c r="G56" i="8"/>
  <c r="I56" i="8" s="1"/>
  <c r="F56" i="8"/>
  <c r="E56" i="8"/>
  <c r="C56" i="8"/>
  <c r="AE55" i="8"/>
  <c r="AC55" i="8"/>
  <c r="W55" i="8"/>
  <c r="AY55" i="8" s="1"/>
  <c r="G55" i="8"/>
  <c r="I55" i="8" s="1"/>
  <c r="F55" i="8"/>
  <c r="E55" i="8"/>
  <c r="C55" i="8"/>
  <c r="Y54" i="8"/>
  <c r="W54" i="8"/>
  <c r="AY54" i="8" s="1"/>
  <c r="G54" i="8"/>
  <c r="A54" i="8" s="1"/>
  <c r="F54" i="8"/>
  <c r="E54" i="8"/>
  <c r="C54" i="8"/>
  <c r="AK53" i="8"/>
  <c r="AJ53" i="8"/>
  <c r="W53" i="8"/>
  <c r="AY53" i="8" s="1"/>
  <c r="G53" i="8"/>
  <c r="A53" i="8" s="1"/>
  <c r="F53" i="8"/>
  <c r="E53" i="8"/>
  <c r="C53" i="8"/>
  <c r="AK52" i="8"/>
  <c r="AZ52" i="8" s="1"/>
  <c r="AJ52" i="8"/>
  <c r="W52" i="8"/>
  <c r="AY52" i="8" s="1"/>
  <c r="G52" i="8"/>
  <c r="F52" i="8"/>
  <c r="E52" i="8"/>
  <c r="C52" i="8"/>
  <c r="AK51" i="8"/>
  <c r="AJ51" i="8"/>
  <c r="W51" i="8"/>
  <c r="AY51" i="8" s="1"/>
  <c r="G51" i="8"/>
  <c r="A51" i="8" s="1"/>
  <c r="F51" i="8"/>
  <c r="E51" i="8"/>
  <c r="C51" i="8"/>
  <c r="AK50" i="8"/>
  <c r="AZ50" i="8" s="1"/>
  <c r="AJ50" i="8"/>
  <c r="W50" i="8"/>
  <c r="AY50" i="8" s="1"/>
  <c r="G50" i="8"/>
  <c r="A50" i="8" s="1"/>
  <c r="F50" i="8"/>
  <c r="E50" i="8"/>
  <c r="C50" i="8"/>
  <c r="AK49" i="8"/>
  <c r="AJ49" i="8"/>
  <c r="W49" i="8"/>
  <c r="AY49" i="8" s="1"/>
  <c r="G49" i="8"/>
  <c r="F49" i="8"/>
  <c r="E49" i="8"/>
  <c r="C49" i="8"/>
  <c r="AK48" i="8"/>
  <c r="AZ48" i="8" s="1"/>
  <c r="AJ48" i="8"/>
  <c r="W48" i="8"/>
  <c r="AY48" i="8" s="1"/>
  <c r="G48" i="8"/>
  <c r="A48" i="8" s="1"/>
  <c r="F48" i="8"/>
  <c r="E48" i="8"/>
  <c r="C48" i="8"/>
  <c r="AK47" i="8"/>
  <c r="AZ47" i="8" s="1"/>
  <c r="AJ47" i="8"/>
  <c r="W47" i="8"/>
  <c r="AY47" i="8" s="1"/>
  <c r="G47" i="8"/>
  <c r="I47" i="8" s="1"/>
  <c r="F47" i="8"/>
  <c r="E47" i="8"/>
  <c r="C47" i="8"/>
  <c r="AC46" i="8"/>
  <c r="AB46" i="8"/>
  <c r="AA46" i="8"/>
  <c r="W46" i="8"/>
  <c r="AY46" i="8" s="1"/>
  <c r="G46" i="8"/>
  <c r="A46" i="8" s="1"/>
  <c r="F46" i="8"/>
  <c r="E46" i="8"/>
  <c r="C46" i="8"/>
  <c r="AK45" i="8"/>
  <c r="AZ45" i="8" s="1"/>
  <c r="AJ45" i="8"/>
  <c r="W45" i="8"/>
  <c r="AY45" i="8" s="1"/>
  <c r="G45" i="8"/>
  <c r="I45" i="8" s="1"/>
  <c r="F45" i="8"/>
  <c r="E45" i="8"/>
  <c r="C45" i="8"/>
  <c r="Y44" i="8"/>
  <c r="W44" i="8"/>
  <c r="AY44" i="8" s="1"/>
  <c r="G44" i="8"/>
  <c r="I44" i="8" s="1"/>
  <c r="F44" i="8"/>
  <c r="E44" i="8"/>
  <c r="C44" i="8"/>
  <c r="AK43" i="8"/>
  <c r="AZ43" i="8" s="1"/>
  <c r="AJ43" i="8"/>
  <c r="W43" i="8"/>
  <c r="AY43" i="8" s="1"/>
  <c r="G43" i="8"/>
  <c r="F43" i="8"/>
  <c r="E43" i="8"/>
  <c r="C43" i="8"/>
  <c r="AK42" i="8"/>
  <c r="AZ42" i="8" s="1"/>
  <c r="AJ42" i="8"/>
  <c r="W42" i="8"/>
  <c r="AY42" i="8" s="1"/>
  <c r="G42" i="8"/>
  <c r="I42" i="8" s="1"/>
  <c r="F42" i="8"/>
  <c r="E42" i="8"/>
  <c r="C42" i="8"/>
  <c r="A42" i="8"/>
  <c r="AK41" i="8"/>
  <c r="AZ41" i="8" s="1"/>
  <c r="AJ41" i="8"/>
  <c r="W41" i="8"/>
  <c r="AY41" i="8" s="1"/>
  <c r="G41" i="8"/>
  <c r="I41" i="8" s="1"/>
  <c r="F41" i="8"/>
  <c r="E41" i="8"/>
  <c r="C41" i="8"/>
  <c r="AK40" i="8"/>
  <c r="AZ40" i="8" s="1"/>
  <c r="AJ40" i="8"/>
  <c r="W40" i="8"/>
  <c r="AY40" i="8" s="1"/>
  <c r="G40" i="8"/>
  <c r="F40" i="8"/>
  <c r="E40" i="8"/>
  <c r="C40" i="8"/>
  <c r="AK39" i="8"/>
  <c r="AZ39" i="8" s="1"/>
  <c r="AJ39" i="8"/>
  <c r="W39" i="8"/>
  <c r="AY39" i="8" s="1"/>
  <c r="G39" i="8"/>
  <c r="A39" i="8" s="1"/>
  <c r="F39" i="8"/>
  <c r="E39" i="8"/>
  <c r="C39" i="8"/>
  <c r="AK38" i="8"/>
  <c r="AZ38" i="8" s="1"/>
  <c r="AJ38" i="8"/>
  <c r="W38" i="8"/>
  <c r="AY38" i="8" s="1"/>
  <c r="G38" i="8"/>
  <c r="A38" i="8" s="1"/>
  <c r="F38" i="8"/>
  <c r="E38" i="8"/>
  <c r="C38" i="8"/>
  <c r="AK37" i="8"/>
  <c r="AZ37" i="8" s="1"/>
  <c r="AJ37" i="8"/>
  <c r="W37" i="8"/>
  <c r="AY37" i="8" s="1"/>
  <c r="G37" i="8"/>
  <c r="F37" i="8"/>
  <c r="E37" i="8"/>
  <c r="C37" i="8"/>
  <c r="Y36" i="8"/>
  <c r="W36" i="8"/>
  <c r="AY36" i="8" s="1"/>
  <c r="G36" i="8"/>
  <c r="I36" i="8" s="1"/>
  <c r="F36" i="8"/>
  <c r="E36" i="8"/>
  <c r="C36" i="8"/>
  <c r="AK35" i="8"/>
  <c r="AZ35" i="8" s="1"/>
  <c r="AJ35" i="8"/>
  <c r="W35" i="8"/>
  <c r="AY35" i="8" s="1"/>
  <c r="G35" i="8"/>
  <c r="A35" i="8" s="1"/>
  <c r="F35" i="8"/>
  <c r="E35" i="8"/>
  <c r="C35" i="8"/>
  <c r="Z34" i="8"/>
  <c r="AK34" i="8" s="1"/>
  <c r="AZ34" i="8" s="1"/>
  <c r="W34" i="8"/>
  <c r="AY34" i="8" s="1"/>
  <c r="G34" i="8"/>
  <c r="A34" i="8" s="1"/>
  <c r="F34" i="8"/>
  <c r="E34" i="8"/>
  <c r="C34" i="8"/>
  <c r="AK33" i="8"/>
  <c r="AZ33" i="8" s="1"/>
  <c r="AJ33" i="8"/>
  <c r="W33" i="8"/>
  <c r="AY33" i="8" s="1"/>
  <c r="G33" i="8"/>
  <c r="F33" i="8"/>
  <c r="E33" i="8"/>
  <c r="C33" i="8"/>
  <c r="AK32" i="8"/>
  <c r="AZ32" i="8" s="1"/>
  <c r="AJ32" i="8"/>
  <c r="W32" i="8"/>
  <c r="AY32" i="8" s="1"/>
  <c r="G32" i="8"/>
  <c r="I32" i="8" s="1"/>
  <c r="F32" i="8"/>
  <c r="E32" i="8"/>
  <c r="C32" i="8"/>
  <c r="AK31" i="8"/>
  <c r="AZ31" i="8" s="1"/>
  <c r="AJ31" i="8"/>
  <c r="W31" i="8"/>
  <c r="AY31" i="8" s="1"/>
  <c r="G31" i="8"/>
  <c r="I31" i="8" s="1"/>
  <c r="F31" i="8"/>
  <c r="E31" i="8"/>
  <c r="C31" i="8"/>
  <c r="AK30" i="8"/>
  <c r="AZ30" i="8" s="1"/>
  <c r="AJ30" i="8"/>
  <c r="W30" i="8"/>
  <c r="AY30" i="8" s="1"/>
  <c r="G30" i="8"/>
  <c r="I30" i="8" s="1"/>
  <c r="F30" i="8"/>
  <c r="E30" i="8"/>
  <c r="C30" i="8"/>
  <c r="AC29" i="8"/>
  <c r="AB29" i="8"/>
  <c r="W29" i="8"/>
  <c r="AY29" i="8" s="1"/>
  <c r="G29" i="8"/>
  <c r="I29" i="8" s="1"/>
  <c r="F29" i="8"/>
  <c r="E29" i="8"/>
  <c r="C29" i="8"/>
  <c r="Z28" i="8"/>
  <c r="Y28" i="8"/>
  <c r="AK28" i="8" s="1"/>
  <c r="AZ28" i="8" s="1"/>
  <c r="W28" i="8"/>
  <c r="AY28" i="8" s="1"/>
  <c r="G28" i="8"/>
  <c r="I28" i="8" s="1"/>
  <c r="F28" i="8"/>
  <c r="E28" i="8"/>
  <c r="C28" i="8"/>
  <c r="Y27" i="8"/>
  <c r="X27" i="8"/>
  <c r="AK27" i="8" s="1"/>
  <c r="AZ27" i="8" s="1"/>
  <c r="W27" i="8"/>
  <c r="AY27" i="8" s="1"/>
  <c r="G27" i="8"/>
  <c r="F27" i="8"/>
  <c r="E27" i="8"/>
  <c r="C27" i="8"/>
  <c r="AK26" i="8"/>
  <c r="AZ26" i="8" s="1"/>
  <c r="AJ26" i="8"/>
  <c r="W26" i="8"/>
  <c r="AY26" i="8" s="1"/>
  <c r="G26" i="8"/>
  <c r="I26" i="8" s="1"/>
  <c r="F26" i="8"/>
  <c r="E26" i="8"/>
  <c r="C26" i="8"/>
  <c r="AD25" i="8"/>
  <c r="AJ25" i="8" s="1"/>
  <c r="W25" i="8"/>
  <c r="AY25" i="8" s="1"/>
  <c r="G25" i="8"/>
  <c r="A25" i="8" s="1"/>
  <c r="F25" i="8"/>
  <c r="E25" i="8"/>
  <c r="C25" i="8"/>
  <c r="Y24" i="8"/>
  <c r="AJ24" i="8" s="1"/>
  <c r="W24" i="8"/>
  <c r="AY24" i="8" s="1"/>
  <c r="G24" i="8"/>
  <c r="A24" i="8" s="1"/>
  <c r="F24" i="8"/>
  <c r="E24" i="8"/>
  <c r="C24" i="8"/>
  <c r="AB23" i="8"/>
  <c r="AK23" i="8" s="1"/>
  <c r="W23" i="8"/>
  <c r="AY23" i="8" s="1"/>
  <c r="G23" i="8"/>
  <c r="F23" i="8"/>
  <c r="E23" i="8"/>
  <c r="C23" i="8"/>
  <c r="AD22" i="8"/>
  <c r="AC22" i="8"/>
  <c r="AK22" i="8" s="1"/>
  <c r="AZ22" i="8" s="1"/>
  <c r="W22" i="8"/>
  <c r="AY22" i="8" s="1"/>
  <c r="G22" i="8"/>
  <c r="A22" i="8" s="1"/>
  <c r="F22" i="8"/>
  <c r="E22" i="8"/>
  <c r="C22" i="8"/>
  <c r="AK21" i="8"/>
  <c r="AZ21" i="8" s="1"/>
  <c r="AJ21" i="8"/>
  <c r="W21" i="8"/>
  <c r="AY21" i="8" s="1"/>
  <c r="G21" i="8"/>
  <c r="A21" i="8" s="1"/>
  <c r="F21" i="8"/>
  <c r="E21" i="8"/>
  <c r="C21" i="8"/>
  <c r="AK20" i="8"/>
  <c r="AZ20" i="8" s="1"/>
  <c r="AJ20" i="8"/>
  <c r="W20" i="8"/>
  <c r="AY20" i="8" s="1"/>
  <c r="G20" i="8"/>
  <c r="A20" i="8" s="1"/>
  <c r="F20" i="8"/>
  <c r="E20" i="8"/>
  <c r="C20" i="8"/>
  <c r="AC19" i="8"/>
  <c r="AJ19" i="8" s="1"/>
  <c r="W19" i="8"/>
  <c r="AY19" i="8" s="1"/>
  <c r="G19" i="8"/>
  <c r="A19" i="8" s="1"/>
  <c r="F19" i="8"/>
  <c r="E19" i="8"/>
  <c r="C19" i="8"/>
  <c r="Z18" i="8"/>
  <c r="AK18" i="8" s="1"/>
  <c r="AZ18" i="8" s="1"/>
  <c r="W18" i="8"/>
  <c r="AY18" i="8" s="1"/>
  <c r="G18" i="8"/>
  <c r="I18" i="8" s="1"/>
  <c r="F18" i="8"/>
  <c r="E18" i="8"/>
  <c r="C18" i="8"/>
  <c r="AK17" i="8"/>
  <c r="AJ17" i="8"/>
  <c r="W17" i="8"/>
  <c r="AY17" i="8" s="1"/>
  <c r="G17" i="8"/>
  <c r="I17" i="8" s="1"/>
  <c r="F17" i="8"/>
  <c r="E17" i="8"/>
  <c r="C17" i="8"/>
  <c r="AE16" i="8"/>
  <c r="AF16" i="8" s="1"/>
  <c r="AG16" i="8" s="1"/>
  <c r="AH16" i="8" s="1"/>
  <c r="AI16" i="8" s="1"/>
  <c r="AD16" i="8"/>
  <c r="W16" i="8"/>
  <c r="AY16" i="8" s="1"/>
  <c r="G16" i="8"/>
  <c r="F16" i="8"/>
  <c r="E16" i="8"/>
  <c r="C16" i="8"/>
  <c r="AF15" i="8"/>
  <c r="AG15" i="8" s="1"/>
  <c r="AH15" i="8" s="1"/>
  <c r="AI15" i="8" s="1"/>
  <c r="AC15" i="8"/>
  <c r="AB15" i="8"/>
  <c r="AA15" i="8"/>
  <c r="Z15" i="8"/>
  <c r="Y15" i="8"/>
  <c r="W15" i="8"/>
  <c r="AY15" i="8" s="1"/>
  <c r="G15" i="8"/>
  <c r="I15" i="8" s="1"/>
  <c r="F15" i="8"/>
  <c r="E15" i="8"/>
  <c r="C15" i="8"/>
  <c r="AE14" i="8"/>
  <c r="AD14" i="8"/>
  <c r="AC14" i="8"/>
  <c r="AB14" i="8"/>
  <c r="AA14" i="8"/>
  <c r="Z14" i="8"/>
  <c r="Y14" i="8"/>
  <c r="X14" i="8"/>
  <c r="W14" i="8"/>
  <c r="AY14" i="8" s="1"/>
  <c r="G14" i="8"/>
  <c r="A14" i="8" s="1"/>
  <c r="F14" i="8"/>
  <c r="E14" i="8"/>
  <c r="C14" i="8"/>
  <c r="X13" i="8"/>
  <c r="AK13" i="8" s="1"/>
  <c r="W13" i="8"/>
  <c r="AY13" i="8" s="1"/>
  <c r="G13" i="8"/>
  <c r="A13" i="8" s="1"/>
  <c r="F13" i="8"/>
  <c r="E13" i="8"/>
  <c r="C13" i="8"/>
  <c r="AC12" i="8"/>
  <c r="AB12" i="8"/>
  <c r="V12" i="8"/>
  <c r="U12" i="8"/>
  <c r="T12" i="8"/>
  <c r="S12" i="8"/>
  <c r="R12" i="8"/>
  <c r="Q12" i="8"/>
  <c r="P12" i="8"/>
  <c r="O12" i="8"/>
  <c r="N12" i="8"/>
  <c r="G12" i="8"/>
  <c r="A12" i="8" s="1"/>
  <c r="F12" i="8"/>
  <c r="E12" i="8"/>
  <c r="C12" i="8"/>
  <c r="AK11" i="8"/>
  <c r="AZ11" i="8" s="1"/>
  <c r="AJ11" i="8"/>
  <c r="W11" i="8"/>
  <c r="AY11" i="8" s="1"/>
  <c r="G11" i="8"/>
  <c r="A11" i="8" s="1"/>
  <c r="F11" i="8"/>
  <c r="E11" i="8"/>
  <c r="C11" i="8"/>
  <c r="AK10" i="8"/>
  <c r="AZ10" i="8" s="1"/>
  <c r="AJ10" i="8"/>
  <c r="W10" i="8"/>
  <c r="AY10" i="8" s="1"/>
  <c r="G10" i="8"/>
  <c r="A10" i="8" s="1"/>
  <c r="F10" i="8"/>
  <c r="E10" i="8"/>
  <c r="C10" i="8"/>
  <c r="AD9" i="8"/>
  <c r="AC9" i="8"/>
  <c r="AB9" i="8"/>
  <c r="AA9" i="8"/>
  <c r="Y9" i="8"/>
  <c r="X9" i="8"/>
  <c r="AJ9" i="8" s="1"/>
  <c r="V9" i="8"/>
  <c r="U9" i="8"/>
  <c r="T9" i="8"/>
  <c r="S9" i="8"/>
  <c r="R9" i="8"/>
  <c r="Q9" i="8"/>
  <c r="P9" i="8"/>
  <c r="O9" i="8"/>
  <c r="W9" i="8" s="1"/>
  <c r="AY9" i="8" s="1"/>
  <c r="G9" i="8"/>
  <c r="A9" i="8" s="1"/>
  <c r="F9" i="8"/>
  <c r="E9" i="8"/>
  <c r="C9" i="8"/>
  <c r="AX8" i="8"/>
  <c r="AC8" i="8"/>
  <c r="AB8" i="8"/>
  <c r="W8" i="8"/>
  <c r="G8" i="8"/>
  <c r="I8" i="8" s="1"/>
  <c r="F8" i="8"/>
  <c r="E8" i="8"/>
  <c r="C8" i="8"/>
  <c r="G7" i="8"/>
  <c r="AY8" i="8" l="1"/>
  <c r="AK36" i="8"/>
  <c r="AZ36" i="8" s="1"/>
  <c r="AJ36" i="8"/>
  <c r="AK54" i="8"/>
  <c r="AZ54" i="8" s="1"/>
  <c r="AJ54" i="8"/>
  <c r="AJ55" i="8"/>
  <c r="E6" i="9"/>
  <c r="F7" i="9"/>
  <c r="I14" i="8"/>
  <c r="A32" i="8"/>
  <c r="I34" i="8"/>
  <c r="AK9" i="8"/>
  <c r="AZ9" i="8" s="1"/>
  <c r="AK12" i="8"/>
  <c r="AZ12" i="8" s="1"/>
  <c r="I24" i="8"/>
  <c r="AJ34" i="8"/>
  <c r="A55" i="8"/>
  <c r="AK25" i="8"/>
  <c r="AZ25" i="8" s="1"/>
  <c r="W12" i="8"/>
  <c r="A15" i="8"/>
  <c r="A26" i="8"/>
  <c r="AK8" i="8"/>
  <c r="AJ14" i="8"/>
  <c r="AJ28" i="8"/>
  <c r="AJ22" i="8"/>
  <c r="I13" i="8"/>
  <c r="I22" i="8"/>
  <c r="A18" i="8"/>
  <c r="A56" i="8"/>
  <c r="I38" i="8"/>
  <c r="AZ53" i="8"/>
  <c r="AZ17" i="8"/>
  <c r="A17" i="8"/>
  <c r="I46" i="8"/>
  <c r="I39" i="8"/>
  <c r="AZ51" i="8"/>
  <c r="AK55" i="8"/>
  <c r="AZ55" i="8" s="1"/>
  <c r="I51" i="8"/>
  <c r="A29" i="8"/>
  <c r="A28" i="8"/>
  <c r="AZ13" i="8"/>
  <c r="A44" i="8"/>
  <c r="I40" i="8"/>
  <c r="A40" i="8"/>
  <c r="A36" i="8"/>
  <c r="I43" i="8"/>
  <c r="A43" i="8"/>
  <c r="I25" i="8"/>
  <c r="A30" i="8"/>
  <c r="I37" i="8"/>
  <c r="A37" i="8"/>
  <c r="A16" i="8"/>
  <c r="I16" i="8"/>
  <c r="I9" i="8"/>
  <c r="I50" i="8"/>
  <c r="I35" i="8"/>
  <c r="A45" i="8"/>
  <c r="I48" i="8"/>
  <c r="I53" i="8"/>
  <c r="AK15" i="8"/>
  <c r="AZ15" i="8" s="1"/>
  <c r="A8" i="8"/>
  <c r="A31" i="8"/>
  <c r="AK44" i="8"/>
  <c r="AZ44" i="8" s="1"/>
  <c r="AJ44" i="8"/>
  <c r="A52" i="8"/>
  <c r="I52" i="8"/>
  <c r="I33" i="8"/>
  <c r="A33" i="8"/>
  <c r="I21" i="8"/>
  <c r="I11" i="8"/>
  <c r="I10" i="8"/>
  <c r="I19" i="8"/>
  <c r="AJ23" i="8"/>
  <c r="I23" i="8"/>
  <c r="A23" i="8"/>
  <c r="AJ12" i="8"/>
  <c r="AK24" i="8"/>
  <c r="AZ24" i="8" s="1"/>
  <c r="AJ13" i="8"/>
  <c r="AZ23" i="8"/>
  <c r="AK46" i="8"/>
  <c r="AJ46" i="8"/>
  <c r="I27" i="8"/>
  <c r="A27" i="8"/>
  <c r="A49" i="8"/>
  <c r="I49" i="8"/>
  <c r="AJ8" i="8"/>
  <c r="AJ16" i="8"/>
  <c r="AK19" i="8"/>
  <c r="AZ19" i="8" s="1"/>
  <c r="AZ46" i="8"/>
  <c r="AJ15" i="8"/>
  <c r="AK16" i="8"/>
  <c r="AZ16" i="8" s="1"/>
  <c r="AJ18" i="8"/>
  <c r="AJ27" i="8"/>
  <c r="I20" i="8"/>
  <c r="AK14" i="8"/>
  <c r="AZ14" i="8" s="1"/>
  <c r="AK29" i="8"/>
  <c r="AZ29" i="8" s="1"/>
  <c r="AJ29" i="8"/>
  <c r="A41" i="8"/>
  <c r="I12" i="8"/>
  <c r="AZ49" i="8"/>
  <c r="A47" i="8"/>
  <c r="I54" i="8"/>
  <c r="D6" i="9" l="1"/>
  <c r="D5" i="9" s="1"/>
  <c r="AZ8" i="8"/>
  <c r="AY12" i="8"/>
  <c r="C6" i="9"/>
  <c r="C5" i="9" s="1"/>
  <c r="E5" i="9"/>
  <c r="F6" i="9"/>
</calcChain>
</file>

<file path=xl/sharedStrings.xml><?xml version="1.0" encoding="utf-8"?>
<sst xmlns="http://schemas.openxmlformats.org/spreadsheetml/2006/main" count="1646" uniqueCount="760">
  <si>
    <t>Centros de Custo</t>
  </si>
  <si>
    <t>Desc. Centro de Custo</t>
  </si>
  <si>
    <t>Gestor</t>
  </si>
  <si>
    <t>Comercialização</t>
  </si>
  <si>
    <t>Gestão</t>
  </si>
  <si>
    <t>Geração</t>
  </si>
  <si>
    <t>Filial</t>
  </si>
  <si>
    <t>Nome Reduzido</t>
  </si>
  <si>
    <t>Cluster</t>
  </si>
  <si>
    <t>C100</t>
  </si>
  <si>
    <t>Diretoria</t>
  </si>
  <si>
    <t>Fernanda Barbosa</t>
  </si>
  <si>
    <t>ECEL - ELÉTRON COMERCIALIZADORA DE ENERGIA S.A.</t>
  </si>
  <si>
    <t>ECEL COMERCIALIZADORA</t>
  </si>
  <si>
    <t>COMERCIALIZADORA</t>
  </si>
  <si>
    <t>ECEL - ELETRON COMERCIALI</t>
  </si>
  <si>
    <t>C101</t>
  </si>
  <si>
    <t>Comercial</t>
  </si>
  <si>
    <t>João Lins</t>
  </si>
  <si>
    <t>MERCURIA COMERCIALIZADORA DE ENERGIA DO BRASIL LTDA</t>
  </si>
  <si>
    <t>MERCURIA COMERCIALIZADORA</t>
  </si>
  <si>
    <t>C102</t>
  </si>
  <si>
    <t>Jurídico</t>
  </si>
  <si>
    <t>Cesar Souza</t>
  </si>
  <si>
    <t>ELETRON POWER GERACAO E COMERCIALIZADORA DE ENERGIA S.A.</t>
  </si>
  <si>
    <t>ELETRON POWER GERACAO</t>
  </si>
  <si>
    <t>ELETRON POWER GERACAO E C</t>
  </si>
  <si>
    <t>C103</t>
  </si>
  <si>
    <t>Marketing</t>
  </si>
  <si>
    <t>Mayra Souza</t>
  </si>
  <si>
    <t>UFV IBIMIRIM 1 GERACAO DE ENERGIA ELETRICA LTDA</t>
  </si>
  <si>
    <t>UFV IBIMIRIM 1</t>
  </si>
  <si>
    <t>IBIMIRINS</t>
  </si>
  <si>
    <t>UFV IBIMIRIM 1 GERACAO DE</t>
  </si>
  <si>
    <t>C104</t>
  </si>
  <si>
    <t>TI</t>
  </si>
  <si>
    <t>Marcelo Bronzatti</t>
  </si>
  <si>
    <t>UFV IBIMIRIM 2 GERACAO DE ENERGIA ELETRICA LTDA</t>
  </si>
  <si>
    <t>UFV IBIMIRIM 2</t>
  </si>
  <si>
    <t>UFV IBIMIRIM 2 GERACAO DE</t>
  </si>
  <si>
    <t>C105</t>
  </si>
  <si>
    <t>Estrutura Corporativo</t>
  </si>
  <si>
    <t>Rafael Silva</t>
  </si>
  <si>
    <t>UFV IBIMIRIM 3 GERACAO DE ENERGIA ELETRICA LTDA</t>
  </si>
  <si>
    <t>UFV IBIMIRIM 3</t>
  </si>
  <si>
    <t>UFV IBIMIRIM 3 GERACAO DE</t>
  </si>
  <si>
    <t>C106</t>
  </si>
  <si>
    <t>Gente e Gestão</t>
  </si>
  <si>
    <t>Emanuelli Colvara</t>
  </si>
  <si>
    <t>UFV IBIMIRIM 4 GERACAO DE ENERGIA ELETRICA LTDA</t>
  </si>
  <si>
    <t>UFV IBIMIRIM 4</t>
  </si>
  <si>
    <t>UFV IBIMIRIM 4 GERACAO DE</t>
  </si>
  <si>
    <t>C107</t>
  </si>
  <si>
    <t>Tesouraria</t>
  </si>
  <si>
    <t>Ruan Pereira</t>
  </si>
  <si>
    <t>UFV IBIMIRIM 5 GERACAO DE ENERGIA ELETRICA LTDA</t>
  </si>
  <si>
    <t>UFV IBIMIRIM 5</t>
  </si>
  <si>
    <t>UFV IBIMIRIM 5 GERACAO DE</t>
  </si>
  <si>
    <t>C108</t>
  </si>
  <si>
    <t>Controladoria</t>
  </si>
  <si>
    <t>Ray Salvador</t>
  </si>
  <si>
    <t>UFV IBIMIRIM 6 GERACAO DE ENERGIA ELETRICA LTDA</t>
  </si>
  <si>
    <t>UFV IBIMIRIM 6</t>
  </si>
  <si>
    <t>UFV IBIMIRIM 6 GERACAO DE</t>
  </si>
  <si>
    <t>C109</t>
  </si>
  <si>
    <t>Fiscal</t>
  </si>
  <si>
    <t>Carlos Augusto Brito</t>
  </si>
  <si>
    <t>UFV IBIMIRIM 7 GERACAO DE ENERGIA ELETRICA LTDA</t>
  </si>
  <si>
    <t>UFV IBIMIRIM 7</t>
  </si>
  <si>
    <t>UFV IBIMIRIM 7 GERACAO DE</t>
  </si>
  <si>
    <t>C121</t>
  </si>
  <si>
    <t>Cobrança Ecel</t>
  </si>
  <si>
    <t>UFV IBIMIRIM 8 GERACAO DE ENERGIA ELETRICA LTDA</t>
  </si>
  <si>
    <t>UFV IBIMIRIM 8</t>
  </si>
  <si>
    <t>UFV IBIMIRIM 8 GERACAO DE</t>
  </si>
  <si>
    <t>C200</t>
  </si>
  <si>
    <t>Trading</t>
  </si>
  <si>
    <t>UFV IBIMIRIM 9 GERACAO DE ENERGIA ELETRICA LTDA</t>
  </si>
  <si>
    <t>UFV IBIMIRIM 9</t>
  </si>
  <si>
    <t>UFV IBIMIRIM 9 GERACAO DE</t>
  </si>
  <si>
    <t>C201</t>
  </si>
  <si>
    <t>Back-office</t>
  </si>
  <si>
    <t>VJ ENERGÉTICA LIMITADA</t>
  </si>
  <si>
    <t>VJ ENERGETICA</t>
  </si>
  <si>
    <t>VJ ENERGETICA LIMITADA</t>
  </si>
  <si>
    <t>C202</t>
  </si>
  <si>
    <t>Middle Office</t>
  </si>
  <si>
    <t>Rafael Lemos</t>
  </si>
  <si>
    <t>JUNTOS ENERGIA S/A</t>
  </si>
  <si>
    <t>JUNTOS ENERGIA</t>
  </si>
  <si>
    <t>C300</t>
  </si>
  <si>
    <t>Filipe Guedes</t>
  </si>
  <si>
    <t>UFV RIACHO GERACAO DE ENERGIA ELETRICA LTDA</t>
  </si>
  <si>
    <t>UFV RIACHO</t>
  </si>
  <si>
    <t>RIACHO</t>
  </si>
  <si>
    <t>UFV RIACHO GERACAO DE ENE</t>
  </si>
  <si>
    <t>C400</t>
  </si>
  <si>
    <t>Matheus Rafael</t>
  </si>
  <si>
    <t>CONSORCIO PE ENERGIA 2</t>
  </si>
  <si>
    <t>CONSORCIO PE 2</t>
  </si>
  <si>
    <t>C401</t>
  </si>
  <si>
    <t>Operação/Manutenção (Geração)</t>
  </si>
  <si>
    <t>Helder Batista</t>
  </si>
  <si>
    <t>VOLTSWATTS HOLDING S.A.</t>
  </si>
  <si>
    <t>VOLTSWATTS HOLDING</t>
  </si>
  <si>
    <t>VOLTSWATTS</t>
  </si>
  <si>
    <t>C404</t>
  </si>
  <si>
    <t>Rateio O&amp;M - Operação Usinas</t>
  </si>
  <si>
    <t>SIMPLES ENERGIA S.A.</t>
  </si>
  <si>
    <t>SIMPLES ENERGIA</t>
  </si>
  <si>
    <t>C600</t>
  </si>
  <si>
    <t>Recuperação Judicial (RJ)</t>
  </si>
  <si>
    <t>NOVA RIACHO PARTICIPACOES S.A</t>
  </si>
  <si>
    <t>NOVA RIACHO PARTICIPACOES</t>
  </si>
  <si>
    <t>ELETRON SERVIÇOS LTDA</t>
  </si>
  <si>
    <t>ELETRON SERVICOS</t>
  </si>
  <si>
    <t>ELETRON SERVICOS LTDA</t>
  </si>
  <si>
    <t>ELETRON POWER GD I S.A.</t>
  </si>
  <si>
    <t>ELETRON POWER GD I</t>
  </si>
  <si>
    <t>SPE SE IBIMIRIM ENERGIA LTDA</t>
  </si>
  <si>
    <t>SPE SE IBIMIRIM</t>
  </si>
  <si>
    <t>SPE SE IBIMIRIM ENERGIA L</t>
  </si>
  <si>
    <t>UFV TAPAJOS 1 ENERGIA LTDA</t>
  </si>
  <si>
    <t>UFV TAPAJOS 1</t>
  </si>
  <si>
    <t>GDs</t>
  </si>
  <si>
    <t>UFV TAPAJOS 1 ENERGIA LTD</t>
  </si>
  <si>
    <t>UFV TAPAJOS 2 ENERGIA LTDA</t>
  </si>
  <si>
    <t>UFV TAPAJOS 2</t>
  </si>
  <si>
    <t>UFV TAPAJOS 2 ENERGIA LTD</t>
  </si>
  <si>
    <t>UFV TAPAJOS 3 ENERGIA LTDA</t>
  </si>
  <si>
    <t>UFV TAPAJOS 3</t>
  </si>
  <si>
    <t>UFV TAPAJOS 3 ENERGIA LTD</t>
  </si>
  <si>
    <t>UFV TAPAJOS 4 ENERGIA LTDA</t>
  </si>
  <si>
    <t>UFV TAPAJOS 4</t>
  </si>
  <si>
    <t>UFV TAPAJOS 4 ENERGIA LTD</t>
  </si>
  <si>
    <t>UFV TAPAJOS 5 ENERGIA LTDA</t>
  </si>
  <si>
    <t>UFV TAPAJOS 5</t>
  </si>
  <si>
    <t>UFV TAPAJOS 5 ENERGIA LTD</t>
  </si>
  <si>
    <t>UFV ENERCRED PE 1 ENERGIA LTDA</t>
  </si>
  <si>
    <t>UFV ENERCRED PE 1</t>
  </si>
  <si>
    <t>UFV ENERCRED PE 1 ENERGIA</t>
  </si>
  <si>
    <t>UFV PROPRIA 1 ENERGIA LTDA</t>
  </si>
  <si>
    <t>UFV PROPRIA</t>
  </si>
  <si>
    <t>UFV PROPRIA 1 ENERGIA LTD</t>
  </si>
  <si>
    <t>UFV PRESIDENTE 1 ENERGIA LTDA</t>
  </si>
  <si>
    <t>UFV PRESIDENTE 1</t>
  </si>
  <si>
    <t xml:space="preserve">UFV PRESIDENTE 1 ENERGIA </t>
  </si>
  <si>
    <t>UFV PRESIDENTE 2 ENERGIA LTDA</t>
  </si>
  <si>
    <t>UFV PRESIDENTE 2</t>
  </si>
  <si>
    <t xml:space="preserve">UFV PRESIDENTE 2 ENERGIA </t>
  </si>
  <si>
    <t>UFV PRESIDENTE 3 ENERGIA LTDA</t>
  </si>
  <si>
    <t>UFV PRESIDENTE 3</t>
  </si>
  <si>
    <t xml:space="preserve">UFV PRESIDENTE 3 ENERGIA </t>
  </si>
  <si>
    <t>UFV PRESIDENTE 4 ENERGIA LTDA</t>
  </si>
  <si>
    <t>UFV PRESIDENTE 4</t>
  </si>
  <si>
    <t xml:space="preserve">UFV PRESIDENTE 4 ENERGIA </t>
  </si>
  <si>
    <t>UFV PRESIDENTE 5 ENERGIA LTDA.</t>
  </si>
  <si>
    <t>UFV PRESIDENTE 5</t>
  </si>
  <si>
    <t xml:space="preserve">UFV PRESIDENTE 5 ENERGIA </t>
  </si>
  <si>
    <t>UFV PRESIDENTE 6 ENERGIA LTDA</t>
  </si>
  <si>
    <t>UFV PRESIDENTE 6</t>
  </si>
  <si>
    <t xml:space="preserve">UFV PRESIDENTE 6 ENERGIA </t>
  </si>
  <si>
    <t>UFV BALSAS 1 ENERGIA LTDA</t>
  </si>
  <si>
    <t>UFV BALSAS 1</t>
  </si>
  <si>
    <t>UFV NOTARO PE 1 ENERGIA LTDA</t>
  </si>
  <si>
    <t>UFV NOTARO PE 1</t>
  </si>
  <si>
    <t>UFV NOTARO PE 1 ENERGIA L</t>
  </si>
  <si>
    <t>UFV PIRACURUCA 1 ENERGIA LTDA</t>
  </si>
  <si>
    <t>UFV PIRACURUCA 1</t>
  </si>
  <si>
    <t xml:space="preserve">UFV PIRACURUCA 1 ENERGIA </t>
  </si>
  <si>
    <t>UFV PIRACURUCA 2 ENERGIA LTDA</t>
  </si>
  <si>
    <t>UFV PIRACURUCA 2</t>
  </si>
  <si>
    <t xml:space="preserve">UFV PIRACURUCA 2 ENERGIA </t>
  </si>
  <si>
    <t>UFV PIRACURUCA 3 ENERGIA LTDA</t>
  </si>
  <si>
    <t>UFV PIRACURUCA 3</t>
  </si>
  <si>
    <t xml:space="preserve">UFV PIRACURUCA 3 ENERGIA </t>
  </si>
  <si>
    <t>UFV PIRACURUCA 4 ENERGIA LTDA</t>
  </si>
  <si>
    <t>UFV PIRACURUCA 4</t>
  </si>
  <si>
    <t xml:space="preserve">UFV PIRACURUCA 4 ENERGIA </t>
  </si>
  <si>
    <t>UFV PIRACURUCA 5 ENERGIA LTDA</t>
  </si>
  <si>
    <t>UFV PIRACURUCA 5</t>
  </si>
  <si>
    <t xml:space="preserve">UFV PIRACURUCA 5 ENERGIA </t>
  </si>
  <si>
    <t>UFV PIRACURUCA 6 ENERGIA LTDA</t>
  </si>
  <si>
    <t>UFV PIRACURUCA 6</t>
  </si>
  <si>
    <t xml:space="preserve">UFV PIRACURUCA 6 ENERGIA </t>
  </si>
  <si>
    <t>UFV PIRACURUCA 7 ENERGIA LTDA</t>
  </si>
  <si>
    <t>UFV PIRACURUCA 7</t>
  </si>
  <si>
    <t xml:space="preserve">UFV PIRACURUCA 7 ENERGIA </t>
  </si>
  <si>
    <t>UFV PIRACURUCA 8 ENERGIA LTDA</t>
  </si>
  <si>
    <t>UFV PIRACURUCA 8</t>
  </si>
  <si>
    <t xml:space="preserve">UFV PIRACURUCA 8 ENERGIA </t>
  </si>
  <si>
    <t>UFV PIRACURUCA 9 ENERGIA LTDA</t>
  </si>
  <si>
    <t>UFV PIRACURUCA 9</t>
  </si>
  <si>
    <t xml:space="preserve">UFV PIRACURUCA 9 ENERGIA </t>
  </si>
  <si>
    <t>UFV FREVO 6 ENERGIA SPE LTDA</t>
  </si>
  <si>
    <t>UFV FREVO 6</t>
  </si>
  <si>
    <t>UFV FREVO 6 ENERGIA LTDA</t>
  </si>
  <si>
    <t>UFV FREVO 7 ENERGIA SPE LTDA</t>
  </si>
  <si>
    <t>UFV FREVO 7</t>
  </si>
  <si>
    <t>UFV FREVO 7 ENERGIA LTDA</t>
  </si>
  <si>
    <t>UFV FREVO 8 ENERGIA SPE LTDA</t>
  </si>
  <si>
    <t>UFV FREVO 8</t>
  </si>
  <si>
    <t>UFV FREVO 8 ENERGIA LTDA</t>
  </si>
  <si>
    <t>UFV FREVO 9 ENERGIA SPE LTDA</t>
  </si>
  <si>
    <t>UFV FREVO 9</t>
  </si>
  <si>
    <t>UFV FREVO 9 ENERGIA LTDA</t>
  </si>
  <si>
    <t>UFV FREVO 10 ENERGIA SPE LTDA</t>
  </si>
  <si>
    <t>UFV FREVO 10</t>
  </si>
  <si>
    <t>UFV FREVO 10 ENERGIA LTDA</t>
  </si>
  <si>
    <t>UFV FREVO 11 ENERGIA SPE LTDA</t>
  </si>
  <si>
    <t>UFV FREVO 11</t>
  </si>
  <si>
    <t>UFV FREVO 11 ENERGIA LTDA</t>
  </si>
  <si>
    <t>UFV FREVO 12 ENERGIA SPE LTDA</t>
  </si>
  <si>
    <t>UFV FREVO 12</t>
  </si>
  <si>
    <t>UFV FREVO 12 ENERGIA LTDA</t>
  </si>
  <si>
    <t>UFV FREVO 14 ENERGIA SPE LTDA</t>
  </si>
  <si>
    <t>UFV FREVO 14</t>
  </si>
  <si>
    <t>UFV FREVO 14 ENERGIA LTDA</t>
  </si>
  <si>
    <t>UFV FREVO 15 ENERGIA SPE LTDA</t>
  </si>
  <si>
    <t>UFV FREVO 15</t>
  </si>
  <si>
    <t>UFV FREVO 15 ENERGIA LTDA</t>
  </si>
  <si>
    <t>UFV PERNAMBUCO I GERAÇÃO DE ENERGIA LTDA</t>
  </si>
  <si>
    <t>UFV PERNAMBUCO I</t>
  </si>
  <si>
    <t xml:space="preserve">UFV PERNAMBUCO I GERACAO </t>
  </si>
  <si>
    <t>UFV PERNAMBUCO II GERAÇÃO DE ENERGIA LTDA</t>
  </si>
  <si>
    <t>UFV PERNAMBUCO II</t>
  </si>
  <si>
    <t>UFV PERNAMBUCO II GERACAO</t>
  </si>
  <si>
    <t>UFV PERNAMBUCO III GERACAO DE ENERGIA LTDA</t>
  </si>
  <si>
    <t>UFV PERNAMBUCO III</t>
  </si>
  <si>
    <t>UFV PERNAMBUCO III GERACA</t>
  </si>
  <si>
    <t>UFV PERNAMBUCO IV GERAÇÃO DE ENERGIA LTDA</t>
  </si>
  <si>
    <t>UFV PERNAMBUCO IV</t>
  </si>
  <si>
    <t>UFV PERNAMBUCO IV GERACAO</t>
  </si>
  <si>
    <t>UFV PERNAMBUCO V GERAÇÃO DE ENERGIA LTDA</t>
  </si>
  <si>
    <t>UFV PERNAMBUCO V</t>
  </si>
  <si>
    <t xml:space="preserve">UFV PERNAMBUCO V GERACAO </t>
  </si>
  <si>
    <t>UFV PERNAMBUCO VI GERAÇÃO DE ENERGIA LTDA</t>
  </si>
  <si>
    <t>UFV PERNAMBUCO VI</t>
  </si>
  <si>
    <t>UFV PERNAMBUCO VI GERACAO</t>
  </si>
  <si>
    <t>UFV PERNAMBUCO VII GERAÇÃO DE ENERGIA LTDA</t>
  </si>
  <si>
    <t>UFV PERNAMBUCO VII</t>
  </si>
  <si>
    <t>UFV PERNAMBUCO VII GERACA</t>
  </si>
  <si>
    <t>UFV PERNAMBUCO VIII GERAÇÃO DE ENERGIA LTDA</t>
  </si>
  <si>
    <t>UFV PERNAMBUCO VIII</t>
  </si>
  <si>
    <t>UFV PERNAMBUCO VIII GERAC</t>
  </si>
  <si>
    <t>UFV PERNAMBUCO IX GERAÇÃO DE ENERGIA LTDA</t>
  </si>
  <si>
    <t>UFV PERNAMBUCO IX</t>
  </si>
  <si>
    <t>UFV PERNAMBUCO IX GERACAO</t>
  </si>
  <si>
    <t>UFV PERNAMBUCO X GERAÇÃO DE ENERGIA LTDA</t>
  </si>
  <si>
    <t>UFV PERNAMBUCO X</t>
  </si>
  <si>
    <t xml:space="preserve">UFV PERNAMBUCO X GERACAO </t>
  </si>
  <si>
    <t>UFV FLORES I GERACAO DE ENERGIA LTDA</t>
  </si>
  <si>
    <t>UFV FLORES I</t>
  </si>
  <si>
    <t>UFV FLORES I GERACAO DE E</t>
  </si>
  <si>
    <t>UFV FLORES II GERACAO DE ENERGIA LTDA</t>
  </si>
  <si>
    <t>UFV FLORES II</t>
  </si>
  <si>
    <t xml:space="preserve">UFV FLORES II GERACAO DE </t>
  </si>
  <si>
    <t>UFV FLORES III GERACAO DE ENERGIA LTDA</t>
  </si>
  <si>
    <t>UFV FLORES III</t>
  </si>
  <si>
    <t>UFV FLORES III GERACAO DE</t>
  </si>
  <si>
    <t>UFV FLORES IV GERACAO DE ENERGIA LTDA</t>
  </si>
  <si>
    <t>UFV FLORES IV</t>
  </si>
  <si>
    <t xml:space="preserve">UFV FLORES IV GERACAO DE </t>
  </si>
  <si>
    <t>UFV FLORES V GERACAO DE ENERGIA LTDA</t>
  </si>
  <si>
    <t>UFV FLORES V</t>
  </si>
  <si>
    <t>UFV FLORES V GERACAO DE E</t>
  </si>
  <si>
    <t>UFV FLORES VI GERACAO DE ENERGIA ELETRICA LTDA</t>
  </si>
  <si>
    <t>UFV FLORES VI</t>
  </si>
  <si>
    <t xml:space="preserve">UFV FLORES VI GERACAO DE </t>
  </si>
  <si>
    <t>UFV FLORES VII GERACAO DE ENERGIA ELETRICA LTDA</t>
  </si>
  <si>
    <t>UFV FLORES VII</t>
  </si>
  <si>
    <t>UFV FLORES VII GERACAO DE</t>
  </si>
  <si>
    <t>UFV FLORES VIII GERACAO DE ENERGIA ELETRICA LTDA</t>
  </si>
  <si>
    <t>UFV FLORES VIII</t>
  </si>
  <si>
    <t>UFV FLORES VIII GERACAO D</t>
  </si>
  <si>
    <t>UFV VALE FORMOSO IV GERAÇÃO DE ENERGIA LTDA</t>
  </si>
  <si>
    <t>UFV VALE FORMOSO IV</t>
  </si>
  <si>
    <t>UFV VALE FORMOSO IV GERAC</t>
  </si>
  <si>
    <t>UFV ROSA E SILVA GERACAO DE ENERGIA LTDA</t>
  </si>
  <si>
    <t>UFV ROSA E SILVA</t>
  </si>
  <si>
    <t xml:space="preserve">UFV ROSA E SILVA GERACAO </t>
  </si>
  <si>
    <t>UFV NOSSA SENHORA DAS GRACAS GERACAO DE ENERGIA LTDA</t>
  </si>
  <si>
    <t>UFV NOSSA SENHORA</t>
  </si>
  <si>
    <t>UFV NOSSA SENHORA DAS GRA</t>
  </si>
  <si>
    <t>UFV PAJEU GERAÇÃO DE ENERGIA SPE LTDA</t>
  </si>
  <si>
    <t>UFV PAJEU</t>
  </si>
  <si>
    <t>UFV PAJEU GERACAO DE ENER</t>
  </si>
  <si>
    <t>UFV PAJEU II GERACAO DE ENERGIA SPE LTDA</t>
  </si>
  <si>
    <t>UFV PAJEU II</t>
  </si>
  <si>
    <t>UFV PAJEU II GERACAO DE E</t>
  </si>
  <si>
    <t>UFV PAJEU III GERACAO DE ENERGIA SPE LTDA</t>
  </si>
  <si>
    <t>UFV PAJEU III</t>
  </si>
  <si>
    <t xml:space="preserve">UFV PAJEU III GERACAO DE </t>
  </si>
  <si>
    <t>Código da conta</t>
  </si>
  <si>
    <t>Nome da conta</t>
  </si>
  <si>
    <t>De-Para Balanço IG</t>
  </si>
  <si>
    <t>DE-Para DRE IG</t>
  </si>
  <si>
    <t>Agrupamento</t>
  </si>
  <si>
    <t>VENDA DE ENERGIA ELÉTRICA</t>
  </si>
  <si>
    <t>2.4 Lucros (Prejuízos) Acumulados</t>
  </si>
  <si>
    <t>4.1 Receita Bruta Venda de Energia</t>
  </si>
  <si>
    <t>3.2 Depreciação/Amortização</t>
  </si>
  <si>
    <t>RECEITA C/ NOTAS DE DEBITOS - TUSD E RETUSD</t>
  </si>
  <si>
    <t>3.2 Despesas financeiras</t>
  </si>
  <si>
    <t>RECEITA DE LIQUIDAÇÃO FINANCEIRA CCEE</t>
  </si>
  <si>
    <t>4.1 (+) Liquidações CCEE Receber</t>
  </si>
  <si>
    <t>3.2 Project Finance</t>
  </si>
  <si>
    <t>RECEITA COM VENDA DE I-REC</t>
  </si>
  <si>
    <t>3.2 Receitas financeiras</t>
  </si>
  <si>
    <t>RECEITA C/ NDS TAXAS CCEE VAREJISTAS</t>
  </si>
  <si>
    <t>3.1 G&amp;A</t>
  </si>
  <si>
    <t>VENDA SERVIÇO GESTÃO DE ENERGIA</t>
  </si>
  <si>
    <t>4.1 Receita Bruta sobre Serviços</t>
  </si>
  <si>
    <t>3.1 Despesas com pessoal</t>
  </si>
  <si>
    <t>VENDA SERVIÇO DE ENERGIA SOLAR</t>
  </si>
  <si>
    <t>4.1 Receita Bruta sobre Geração</t>
  </si>
  <si>
    <t>3.3 TUSD</t>
  </si>
  <si>
    <t>VENDA SERVIÇO GESTÃO CONSUMIDORES VAREJO</t>
  </si>
  <si>
    <t>3.4 O&amp;M</t>
  </si>
  <si>
    <t>SERVIÇO UP FRONT MKT CONSUMIDORES VAREJO</t>
  </si>
  <si>
    <t>RECEITA GERAÇÃO DE ENERGIA COMPARTILHADA</t>
  </si>
  <si>
    <t>RECEITA ALUGUEL IMÓVEIS</t>
  </si>
  <si>
    <t>PROVISÃO VENDA DE ENERGIA - CONTRATOS FUTUROS</t>
  </si>
  <si>
    <t>4.1 Provisão venda de Energia - Trading</t>
  </si>
  <si>
    <t>REVERSÃO PROV. VENDA DE ENERGIA - CONTRATOS FUTUROS</t>
  </si>
  <si>
    <t>4.1 Reversão Provisão venda de Energia - Trading</t>
  </si>
  <si>
    <t>DEV E ANULAÇÃO DE VENDAS</t>
  </si>
  <si>
    <t>4.1 (-) Deduções</t>
  </si>
  <si>
    <t>ABATIMENTOS CONCEDIDOS</t>
  </si>
  <si>
    <t>DESCONTOS CONCEDIDOS</t>
  </si>
  <si>
    <t>(-) IPI</t>
  </si>
  <si>
    <t>(-) PIS</t>
  </si>
  <si>
    <t>(-) COFINS</t>
  </si>
  <si>
    <t>(-) ICMS</t>
  </si>
  <si>
    <t>(-) ICMS - ST</t>
  </si>
  <si>
    <t>(-) ISS</t>
  </si>
  <si>
    <t>(-) SIMPLES</t>
  </si>
  <si>
    <t>RENDIMENTOS SOBRE APLICAÇÃO FINANCEIRA</t>
  </si>
  <si>
    <t>JUROS RECEBIDOS CLIENTES</t>
  </si>
  <si>
    <t>DESCONTOS OBTIDOS</t>
  </si>
  <si>
    <t>OUTROS JUROS ATIVOS</t>
  </si>
  <si>
    <t>VARIAÇÃO MONETRIA ATIVA</t>
  </si>
  <si>
    <t>VARIAÇÃO CAMBIAL ATIVA</t>
  </si>
  <si>
    <t>OUTRAS RECEITAS FINANCEIRAS</t>
  </si>
  <si>
    <t>AJUSTE VALOR JUSTO INVESTIMENTOS</t>
  </si>
  <si>
    <t>RECEITA DE ALUGUEL</t>
  </si>
  <si>
    <t>3.1 Outros Resultados Operacionais</t>
  </si>
  <si>
    <t>COMPENSAÇÃO DE TRIBUTOS</t>
  </si>
  <si>
    <t>RECUPERAÇÃO DE DESPESAS</t>
  </si>
  <si>
    <t>VENDA DE ENERGIA ELÉTRICA S/ CONTRATOS FUTUROS</t>
  </si>
  <si>
    <t>3.3 Resultado Contratos Futuros</t>
  </si>
  <si>
    <t>OUTRAS RECEITAS OPERACIONAIS</t>
  </si>
  <si>
    <t>INDENIZAÇÃO POR SINISTRO</t>
  </si>
  <si>
    <t>AJUSTE A VALOR JUSTO DE INVESTIMENTOS</t>
  </si>
  <si>
    <t>RECEITA INDENIZAÇÕES CONTRATOS CLIENTES</t>
  </si>
  <si>
    <t>RECEITA VENDA IMOBILIZADO E INTANGÍVEL</t>
  </si>
  <si>
    <t>RESULTADO POSITIVO DE EQUIVALENCIA PATRIMONIAL</t>
  </si>
  <si>
    <t>3.1 Equity</t>
  </si>
  <si>
    <t>DIVIDENDOS RECEBIDOS PARTICIPAÇÃO SOCIETÁRIAS</t>
  </si>
  <si>
    <t>RECEITA SOBRE VENDA INVESTIMENTO</t>
  </si>
  <si>
    <t>COMPRA ENERGIA ELETRICA</t>
  </si>
  <si>
    <t>4.1 Custo Bruto Venda de Energia</t>
  </si>
  <si>
    <t>CUSTO COM TUSD/RETUSD</t>
  </si>
  <si>
    <t>CUSTO DE LIQUIDAÇÃO FINANCEIRA CCEE</t>
  </si>
  <si>
    <t>3.1 (-) Liquidações CCEE a Pagar</t>
  </si>
  <si>
    <t>CUSTO COM COMPRA I-REC</t>
  </si>
  <si>
    <t>(-) CREDITO PIS S/ COMPRAS DE ENERGIA</t>
  </si>
  <si>
    <t>(-) CREDITO COFINS S/ COMPRAS DE ENERGIA</t>
  </si>
  <si>
    <t>DESCONTO CONCEDIDO S/ OPERAÇÕES CCEE</t>
  </si>
  <si>
    <t>(-) CREDITO PIS S/ OPERAÇÃO COM ENERGIA</t>
  </si>
  <si>
    <t>(-) CREDITO COFINS S/ OPERAÇÃO COM ENERGIA</t>
  </si>
  <si>
    <t>CUSTOS DOS SERVIÇOS PRESTADOS</t>
  </si>
  <si>
    <t>4.1 Custo Bruto sobre Serviços</t>
  </si>
  <si>
    <t>CUSTO GERAÇÃO DE ENERGIA COMPARTILHADA</t>
  </si>
  <si>
    <t>CUSTO ALUGUEL USINAS</t>
  </si>
  <si>
    <t>CUSTO COM CONTRATOS</t>
  </si>
  <si>
    <t>PROVISÃO COMPRA DE ENERGIA - CONTRATOS FUTUROS</t>
  </si>
  <si>
    <t>4.1 Provisão compra de Energia - Trading</t>
  </si>
  <si>
    <t>REVERSÃO COMPRA DE ENERGIA - CONTRATOS FUTUROS</t>
  </si>
  <si>
    <t>4.1 Reversão Provisão compra de Energia - Trading</t>
  </si>
  <si>
    <t>DESPESA C/SALÁRIOS</t>
  </si>
  <si>
    <t>DESPESA HONORÁRIOS DIRETORIA</t>
  </si>
  <si>
    <t>DESPESA BOLSA ESTAGIÁRIOS</t>
  </si>
  <si>
    <t>DESPESA HORAS EXTRAS</t>
  </si>
  <si>
    <t>DESPESA AVISO PRÉVIO</t>
  </si>
  <si>
    <t>DESPESA 13º SALÁRIO</t>
  </si>
  <si>
    <t>DESPESA FÉRIAS</t>
  </si>
  <si>
    <t>DESPESA INDENIZAÇÃO 40% FGTS</t>
  </si>
  <si>
    <t>DESPESA INDENIZAÇÕES TRABALHISTAS</t>
  </si>
  <si>
    <t>DESPESA OUTRAS INDENIZAÇÕES</t>
  </si>
  <si>
    <t>DESPESA D.S.R. DESCANSO SEMANAL REMUNERADO</t>
  </si>
  <si>
    <t>DESPESA MÉDICA C/ACIDENTE TRABALHO</t>
  </si>
  <si>
    <t>DESPESA INSS</t>
  </si>
  <si>
    <t>DESPESA INSS AUTÔNOMO</t>
  </si>
  <si>
    <t>DESPESA FGTS</t>
  </si>
  <si>
    <t>DESPESA ADICIONAL NOTURNO</t>
  </si>
  <si>
    <t>DESPESA ADICIONAL INSALUBRIDADE</t>
  </si>
  <si>
    <t>PAT - PROGRAMA ALIM. TRABALHADOR</t>
  </si>
  <si>
    <t>DESPESA COM PREVIDÊNCIA PRIVADA</t>
  </si>
  <si>
    <t>DESPESA ASSIST.MÉDICA</t>
  </si>
  <si>
    <t>DESPESA ASSIST.MÉDICA ODONTOLÓGICA</t>
  </si>
  <si>
    <t>DESPESA COM FARMÁCIA</t>
  </si>
  <si>
    <t>DESPESA VALE TRANSPORTE</t>
  </si>
  <si>
    <t>(-) RECUPERAÇÃO DESP.VALE TRANSPORTE</t>
  </si>
  <si>
    <t>DESPESA COM AUXILIO COMBUSTIVEL</t>
  </si>
  <si>
    <t>DESPESA COM COMISSÕES</t>
  </si>
  <si>
    <t>DESPESA VALE REFEIÇÃO/TÍQUETES</t>
  </si>
  <si>
    <t>(-)RECUPERAÇÃO DESP. VL REFEI/TÍQUETES</t>
  </si>
  <si>
    <t>DESPESA SEGURO DE VIDA</t>
  </si>
  <si>
    <t>DESPESA PLR-PARTICIPAÇÃO NOS LUCROS OU RESULTADOS</t>
  </si>
  <si>
    <t>DESPESA COM BRINDES</t>
  </si>
  <si>
    <t>DESPESA COM EVENTOS INTERNOS</t>
  </si>
  <si>
    <t>CURSO DE GRADUAÇÃO,PÓS GRADUAÇÃO E MBA</t>
  </si>
  <si>
    <t>CURSO DE APERFEIÇOAMENTO NACIONAL</t>
  </si>
  <si>
    <t>DESPESA ABONO SALARIAL</t>
  </si>
  <si>
    <t>EXAMES MÉDICOS E LABORAL</t>
  </si>
  <si>
    <t>DESPESA RECRUTAMENTO E SELEÇÃO</t>
  </si>
  <si>
    <t>DESPESA COM PRÊMIO ESPECIAL</t>
  </si>
  <si>
    <t>DESPESA COM GRATIFICAÇÕES</t>
  </si>
  <si>
    <t>DESPESA COM PERICULOSIDADE</t>
  </si>
  <si>
    <t>MANUTENÇÃO DE MÁQ. EQUIP. E INSTALAÇÕES-PJ</t>
  </si>
  <si>
    <t>MANUTENÇÃO DE MÁQ. EQUIP. E INSTALAÇÕES-PF</t>
  </si>
  <si>
    <t>MATERIAIS DE MANUTENÇÃO DE INSTALAÇÕES</t>
  </si>
  <si>
    <t>DESPESA MANUTENÇÃO VEÍCULOS LEVES</t>
  </si>
  <si>
    <t>DESPESA IPTU, ITR E SPU</t>
  </si>
  <si>
    <t>DESPESA LOCAÇÃO DE IMÓVEIS</t>
  </si>
  <si>
    <t>DESPESA LOCAÇÃO DE MÁQUINAS E EQUIPAMENTOS</t>
  </si>
  <si>
    <t>DESPESA TAXA DE CONDOMÍNIO</t>
  </si>
  <si>
    <t>DESPESA  COM  ESTACIONAMENTO</t>
  </si>
  <si>
    <t>DESPESA ENERGIA ELÉTRICA CONSUMO</t>
  </si>
  <si>
    <t>DESPESA ÁGUA E ESGOTO</t>
  </si>
  <si>
    <t>DESPESA COM ALVARÁS E LICENÇAS</t>
  </si>
  <si>
    <t>DESPESA SEGURO EMPRESARIAL</t>
  </si>
  <si>
    <t>SERVIÇOS CONSULTORES PJ</t>
  </si>
  <si>
    <t>OUTROS SERVIÇOS-PJ</t>
  </si>
  <si>
    <t>SERVIÇO DE VIGILÂNCIA E SEGURANÇA</t>
  </si>
  <si>
    <t>SERVIÇO DE LIMPEZA E JARDINAGEM</t>
  </si>
  <si>
    <t>OUTROS SERVIÇOS-PF</t>
  </si>
  <si>
    <t>SERVIÇOS TÉCNICOS</t>
  </si>
  <si>
    <t>HONORÁRIOS ADVOCATÍCIOS PJ</t>
  </si>
  <si>
    <t>HONORÁRIOS ADVOCATÍCIOS-PF</t>
  </si>
  <si>
    <t>DESPESAS CONSULTORES TERCEIROS PJ</t>
  </si>
  <si>
    <t>DESPESA ASSESSORIA -PJ</t>
  </si>
  <si>
    <t>DESPESA ACESSÓRIAS DE ASSESSORIA</t>
  </si>
  <si>
    <t>DESPESA AUDITORIA-PJ</t>
  </si>
  <si>
    <t>DESPESA ACESSÓRIAS DE AUDITORIA</t>
  </si>
  <si>
    <t>DESPESA CONSULTORIA -PJ</t>
  </si>
  <si>
    <t>DESPESA ACESSÓRIAS DE CONSULTORIA</t>
  </si>
  <si>
    <t>DESPESA CONSULTORIA -PF</t>
  </si>
  <si>
    <t>DESPESA ASSESSORIA -PF</t>
  </si>
  <si>
    <t>DESPESA COM REPRODUÇÃO E GRÁFICAS</t>
  </si>
  <si>
    <t>DESPESA COMUNICAÇÃO INTERNA</t>
  </si>
  <si>
    <t>DESPESA MATERIAL PROMOCIONAL</t>
  </si>
  <si>
    <t>DESPESA COM PATROCÍNIO</t>
  </si>
  <si>
    <t>DESPESA AÇÕES DE INCENTIVO DE VENDAS</t>
  </si>
  <si>
    <t>DESPESA AGÊNCIAS DE COMUNICAÇÃO</t>
  </si>
  <si>
    <t>DESPESA MARKETING DIGITAL</t>
  </si>
  <si>
    <t>DESPESA ASSESSORIA DE IMPRENSA</t>
  </si>
  <si>
    <t>DESPESA EVENTOS EXTERNOS</t>
  </si>
  <si>
    <t>SERVIÇO E CONSULTORIA DE TI-SUPORTE</t>
  </si>
  <si>
    <t>SISTEMAS DE GESTÃO ADM/OPERACIONAL</t>
  </si>
  <si>
    <t>SERVIÇO E CONSULTORIA DE TI- DESENVOLVIMENTO</t>
  </si>
  <si>
    <t>DESPESA TELEFONIA FIXA E MÓVEL</t>
  </si>
  <si>
    <t>DESPESA COMUNICAÇÃO DE DADOS</t>
  </si>
  <si>
    <t>DESPESA LOCAÇÃO DE IMPRESSORAS</t>
  </si>
  <si>
    <t>DESPESA MANUTENÇÃO DE HARDWARE/SOFTWARE</t>
  </si>
  <si>
    <t>DESPESA TÁXI E LOCOMOÇÕES FUNCIONÁRIOS</t>
  </si>
  <si>
    <t>DESPESA REFEIÇÕES E LANCHES</t>
  </si>
  <si>
    <t>DESPESA COM HOSPEDAGEM</t>
  </si>
  <si>
    <t>DESPESA COM PASSAGENS</t>
  </si>
  <si>
    <t>SERVIÇO DE AGÊNCIA DE VIAGEM</t>
  </si>
  <si>
    <t>OUTRAS DESPESAS COM VIAGENS</t>
  </si>
  <si>
    <t>DESPESA LOCAÇÃO VEÍCULOS</t>
  </si>
  <si>
    <t>DESPESA MATERIAL DE HIGIENE E LIMPEZA</t>
  </si>
  <si>
    <t>DESPESAS ANÚNCIOS E PUBLICAÇÕES</t>
  </si>
  <si>
    <t>DESPESA COM ASSINATURAS DE JORNAIS E REVISTAS</t>
  </si>
  <si>
    <t>DESPESA COPA E COZINHA</t>
  </si>
  <si>
    <t>DESPESA CORREIOS E MALOTES</t>
  </si>
  <si>
    <t>DESPESA DE CORRETAGEM</t>
  </si>
  <si>
    <t>DESPESA C/ PERDAS NO CONTAS A RECEBER</t>
  </si>
  <si>
    <t>3.1 Provisão para perda com devedores duvidosos</t>
  </si>
  <si>
    <t>DESPESA PERDA DEVEDORES DUVIDOSOS (PDD)</t>
  </si>
  <si>
    <t>(-) RECUPERAÇÃO PERDAS NO CONTAS A RECEBER</t>
  </si>
  <si>
    <t>DESPESA COM FRETES</t>
  </si>
  <si>
    <t>DESPESA OUTROS IMPOSTOS E TAXAS</t>
  </si>
  <si>
    <t>DESPESAS ENTIDADES DE CLASSE E CONTRIBUIÇÃO SINDICAL</t>
  </si>
  <si>
    <t>DESPESA MATERIAIS DE EXPEDIENTE</t>
  </si>
  <si>
    <t>DESPESA BENS DE PEQUENO VALOR</t>
  </si>
  <si>
    <t>DESPESAS LEGAIS E JUDICIAIS</t>
  </si>
  <si>
    <t>DESPESA C/ AUTENTICAÇÕES E DESP. CARTORÁRIAS</t>
  </si>
  <si>
    <t>DESPESA COMBUST./LUBRIF. VEÍCULOS</t>
  </si>
  <si>
    <t>(-) CREDITO PIS</t>
  </si>
  <si>
    <t>(-) CREDITO COFINS</t>
  </si>
  <si>
    <t>DESPESA DEPRECIAÇÃO</t>
  </si>
  <si>
    <t>DESPESA AMORTIZAÇÃO</t>
  </si>
  <si>
    <t>DESPESA RATEIO DEPRECIAÇÃO</t>
  </si>
  <si>
    <t>DESPESA RATEIO AMORTIZAÇÃO</t>
  </si>
  <si>
    <t>DESPESA AMORTIZAÇÃO ÁGIO</t>
  </si>
  <si>
    <t>DESPESA DEPRECIAÇÃO ARRENDAMENTO</t>
  </si>
  <si>
    <t>PIS S/OUTRAS RECEITA</t>
  </si>
  <si>
    <t>COFINS S/ OUTRAS RECEITA</t>
  </si>
  <si>
    <t>TARIFAS BANCÁRIAS</t>
  </si>
  <si>
    <t>JUROS S/ EMPRÉSTIMOS E FINANCIAMENTOS</t>
  </si>
  <si>
    <t>JUROS PASSIVOS</t>
  </si>
  <si>
    <t>DESPESA COM IOF</t>
  </si>
  <si>
    <t>VARIAÇÃO MONETÁRIA PASSIVA</t>
  </si>
  <si>
    <t>VARIAÇÃO CAMBIAL PASSIVA</t>
  </si>
  <si>
    <t>OUTRAS DESPESAS FINANCEIRAS</t>
  </si>
  <si>
    <t>DESPESA COM FIANÇA BANCÁRIA</t>
  </si>
  <si>
    <t>JUROS COM ARRENDAMENTOS (IFRS 16)</t>
  </si>
  <si>
    <t>MULTAS FISCAIS COMPENSATÓRIAS</t>
  </si>
  <si>
    <t>CONTRIBUIÇÕES E DOAÇÕES</t>
  </si>
  <si>
    <t>OUTRAS DESPESAS OPERACIONAIS</t>
  </si>
  <si>
    <t>(-) COMPRA ENERGIA S/ CONTRATO FUTURO</t>
  </si>
  <si>
    <t>IMPOSTOS EXERC.ANTERIORES</t>
  </si>
  <si>
    <t>JUROS E MULTAS IMPOSTOS EXERC.ANTERIORES</t>
  </si>
  <si>
    <t>DESPESA MULTA DE TRÂNSITO</t>
  </si>
  <si>
    <t>DESPESAS COM MULTAS INDEDUTÍVEIS</t>
  </si>
  <si>
    <t>(-) IMPOSTOS EXER. ANTERIORES</t>
  </si>
  <si>
    <t>INDENIZAÇÕES CONTRATUAIS</t>
  </si>
  <si>
    <t>RESULTADO NEGATIVO DE EQUIVALENCIA PATRIMONIAL</t>
  </si>
  <si>
    <t>CUSTO NA BAIXA DE INVESTIMENTO</t>
  </si>
  <si>
    <t>CUSTO NA BAIXA DE IMOBILIZADO E INTANGÍVEL</t>
  </si>
  <si>
    <t>PERDA POR REAVALIAÇÃO</t>
  </si>
  <si>
    <t>PROVISÃO DE IMPOSTO DE RENDA</t>
  </si>
  <si>
    <t>5.1 IR e CSLL</t>
  </si>
  <si>
    <t>PROVISÃO PARA IR DIFERIDO</t>
  </si>
  <si>
    <t>5.1 IR e CSLL Diferido</t>
  </si>
  <si>
    <t>REVERSÃO DE PROVISÃO IR DIFERIDO</t>
  </si>
  <si>
    <t>PROVISÃO DE CSLL</t>
  </si>
  <si>
    <t>PROVISÃO PARA CSLL DIFERIDO</t>
  </si>
  <si>
    <t>REVERSÃO DE PROVISÃO CSLL DIFERIDO</t>
  </si>
  <si>
    <t>CENTRO DE CUSTO</t>
  </si>
  <si>
    <t>TODOS</t>
  </si>
  <si>
    <t>G&amp;A</t>
  </si>
  <si>
    <t>Orçado 2026</t>
  </si>
  <si>
    <t>Previsto 2026</t>
  </si>
  <si>
    <t>Orçado 2027</t>
  </si>
  <si>
    <t>Status</t>
  </si>
  <si>
    <t>TOTAL</t>
  </si>
  <si>
    <t>ORÇAMENTO 2027 | PLANEJAMENTO POR CENTRO DE CUSTO</t>
  </si>
  <si>
    <t>Como usar: filtre Centro de Custo ou Responsável no cabeçalho da tabela, selecione Filial e Conta, preencha os valores mensais em azul e finalize a linha quando a proposta estiver revisada. O histórico será trazido automaticamente após a carga na aba Base Histórico.</t>
  </si>
  <si>
    <t>Legenda: azul = entrada do gestor | verde = vínculo automático | preto = cálculo</t>
  </si>
  <si>
    <t>IDENTIFICAÇÃO</t>
  </si>
  <si>
    <t>ORÇAMENTO 2026</t>
  </si>
  <si>
    <t>PROJETADO 2026</t>
  </si>
  <si>
    <t>HISTÓRICO</t>
  </si>
  <si>
    <t>ORÇAMENTO 2027 | ENTRADAS MENSAIS</t>
  </si>
  <si>
    <t>TOTAL E VARIAÇÃO</t>
  </si>
  <si>
    <t>GESTÃO</t>
  </si>
  <si>
    <t>Linha</t>
  </si>
  <si>
    <t>Centro de Custo</t>
  </si>
  <si>
    <t>Responsável</t>
  </si>
  <si>
    <t>Nome da Conta</t>
  </si>
  <si>
    <t>Linha DRE</t>
  </si>
  <si>
    <t>Descrição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</si>
  <si>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</si>
  <si>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</si>
  <si>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</si>
  <si>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</si>
  <si>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</si>
  <si>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</si>
  <si>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</si>
  <si>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</si>
  <si>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</si>
  <si>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</si>
  <si>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</si>
  <si>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</si>
  <si>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Real 2026 YTD</t>
  </si>
  <si>
    <t>Projeção 2026</t>
  </si>
  <si>
    <t>Var. R$ vs 2026 Orç.</t>
  </si>
  <si>
    <t>Var. R$ vs 2026 Proj.</t>
  </si>
  <si>
    <t>Justificativa</t>
  </si>
  <si>
    <t>Consultoria SAP - Alfa</t>
  </si>
  <si>
    <t/>
  </si>
  <si>
    <t>Rascunho</t>
  </si>
  <si>
    <t>Consultoria SAP - Ramo</t>
  </si>
  <si>
    <t>REAJUSTE IGPM</t>
  </si>
  <si>
    <t>StarSoft - Sistema Folha de Pagamento</t>
  </si>
  <si>
    <t>TopDesk - Sistema de Chamados TI</t>
  </si>
  <si>
    <t>RESCISÃO EM 31/03/27</t>
  </si>
  <si>
    <t xml:space="preserve">SKYOne </t>
  </si>
  <si>
    <t>REAJUSTE IGPM 
STUDIO SKU - 4500,00
AUTOSKY - 6500,00</t>
  </si>
  <si>
    <t>ClickSign - Assinatura Documentos</t>
  </si>
  <si>
    <t>Paradigma - Sistema BackOffice</t>
  </si>
  <si>
    <t>RETORNO DO VALOR RENEG E REAJUSTE IGPM 
*DEVE SER FEITO AVISO PREVIO EM JAN/27 E MIGRAR PARA BOLETADOR*</t>
  </si>
  <si>
    <t>TeamGuide - Sistema de Gestão de Pessoas</t>
  </si>
  <si>
    <t>Colmeia - Sistema</t>
  </si>
  <si>
    <t xml:space="preserve">AUMENTO DE VOLUME DE UTILIZAÇÃO PARA DISPAROS E ATENDIMENTO CHATBOT - ENTRADA DO VAREJO - Aumento de valores cambiais da Meta. </t>
  </si>
  <si>
    <t>ARPSist - Sistema</t>
  </si>
  <si>
    <t xml:space="preserve">NEGOCIADO REDUÇÃO DE VLR PARA 4HS + 1 ALUGUEL DO MR44 </t>
  </si>
  <si>
    <t>AKSum IT - Sistema</t>
  </si>
  <si>
    <t>R$ 836,64 + O365 [101 usu *148,71]</t>
  </si>
  <si>
    <t>Imagine - Sistema Portal de Compras</t>
  </si>
  <si>
    <t xml:space="preserve">SouCloud - Licenças Office </t>
  </si>
  <si>
    <t xml:space="preserve">SUBS MENSAL S/FIDELIDADE </t>
  </si>
  <si>
    <t>TiqueTaque - Sistema Ponto RH</t>
  </si>
  <si>
    <t>Infinity Soluções - Sistema 4Expenses</t>
  </si>
  <si>
    <r>
      <rPr>
        <sz val="11"/>
        <color rgb="FF0000FF"/>
        <rFont val="Aptos Narrow"/>
      </rPr>
      <t xml:space="preserve">Signallink </t>
    </r>
    <r>
      <rPr>
        <b/>
        <sz val="11"/>
        <color rgb="FF0000FF"/>
        <rFont val="Aptos Narrow"/>
      </rPr>
      <t>(SUBS POR SURFIX)</t>
    </r>
  </si>
  <si>
    <r>
      <rPr>
        <sz val="11"/>
        <color rgb="FF0000FF"/>
        <rFont val="Aptos Narrow"/>
      </rPr>
      <t xml:space="preserve">TIM - Celulares Corporativos / </t>
    </r>
    <r>
      <rPr>
        <b/>
        <sz val="11"/>
        <color rgb="FF0000FF"/>
        <rFont val="Aptos Narrow"/>
      </rPr>
      <t>( SUBST VIVO CELULAR)</t>
    </r>
    <r>
      <rPr>
        <sz val="11"/>
        <color rgb="FF0000FF"/>
        <rFont val="Aptos Narrow"/>
      </rPr>
      <t xml:space="preserve"> </t>
    </r>
  </si>
  <si>
    <t>69 LINHAS * 49,00</t>
  </si>
  <si>
    <t>VIVO - VOIP / A2M TECNOLOGIA EM INTERNET LTDA (SURFIX)</t>
  </si>
  <si>
    <t>15 LINHAS - SERVICO DE TELEFONIA DID 1 CANAL - R$ 15,00 - TOTAL R$ 225,00
01 CENTRAL DE COMUNICAÇÃO CLOUD PABX/IP COM 4 CANAIS SIMULTÂNEOS - R$ 439,00</t>
  </si>
  <si>
    <t>CLARO - Redundância Internet Recife</t>
  </si>
  <si>
    <t>WRL Connect</t>
  </si>
  <si>
    <t>CLDS Cloud/Mundivox - Internet Recife</t>
  </si>
  <si>
    <t>SantoDigital - Google</t>
  </si>
  <si>
    <t>Hospedagens</t>
  </si>
  <si>
    <t>Passagens</t>
  </si>
  <si>
    <t>Combustível</t>
  </si>
  <si>
    <r>
      <rPr>
        <sz val="11"/>
        <color rgb="FF0000FF"/>
        <rFont val="Aptos Narrow"/>
      </rPr>
      <t xml:space="preserve">Locação Impressoras / </t>
    </r>
    <r>
      <rPr>
        <b/>
        <sz val="11"/>
        <color rgb="FF0000FF"/>
        <rFont val="Aptos Narrow"/>
      </rPr>
      <t>RBS NASCIMENTO</t>
    </r>
  </si>
  <si>
    <t>Manutenção de Veículos</t>
  </si>
  <si>
    <t>Refeições</t>
  </si>
  <si>
    <t>Locomoção</t>
  </si>
  <si>
    <t>Westcon - Licenças Meraki</t>
  </si>
  <si>
    <t>Cisco Umbrella - Anual</t>
  </si>
  <si>
    <t xml:space="preserve">Heroku </t>
  </si>
  <si>
    <t>Hosp.Boletador e Integra</t>
  </si>
  <si>
    <t>Github - Repositório de Códigos Fontes</t>
  </si>
  <si>
    <t>Adobe Creative Cloud</t>
  </si>
  <si>
    <t>Claude AI</t>
  </si>
  <si>
    <t>Iperius Backup - Anual</t>
  </si>
  <si>
    <t>Manutenção de Ativos</t>
  </si>
  <si>
    <t>Godaddy - Registro de Domínio Anual</t>
  </si>
  <si>
    <t>Serviço de Meteorologia - CONMET / FMG Energy Price</t>
  </si>
  <si>
    <t>Serviço de Meteorologia - TEMPO OK</t>
  </si>
  <si>
    <t>Assinatura de Meteorologia - WeatherBell</t>
  </si>
  <si>
    <t>Locação de Veículos</t>
  </si>
  <si>
    <t>Hospedagens Nuvem - Google Suite</t>
  </si>
  <si>
    <t>Computação na Nuvem (Amazon AWS)</t>
  </si>
  <si>
    <t xml:space="preserve">CRESCIMENTO DE RECURSOS PARA HOSPEDAGEM DE APLICAÇÕES/DASHBOARDS/BOLETADOR e demais ferramentas internas para substituição como Teamguide, Boletador, Hub, Substituição Topdesk. </t>
  </si>
  <si>
    <t>Licenças Newave e Decomp</t>
  </si>
  <si>
    <t xml:space="preserve">NOVOS OU FALTANTES </t>
  </si>
  <si>
    <t xml:space="preserve">Google Workspace de Risco (1 conta) </t>
  </si>
  <si>
    <t>CERTIPE - CERTIFICADO DIGITAL</t>
  </si>
  <si>
    <t>RENOVAÇÃO SUPORTE TSPLUS (ACESSO REMOTO USINAS)</t>
  </si>
  <si>
    <t>Consultoria/treinamento Segurança Informação</t>
  </si>
  <si>
    <t>Com a internalização de alguns softwares, se faz necessário consultoria de segurança para análise de vulnerabilidades.</t>
  </si>
  <si>
    <t>Consultoria/treinamento Interligencia Artificial</t>
  </si>
  <si>
    <t>Desenvolvimento &amp; Inovação com utilização de IA . Consultoria e treinamento necessário com o crescimento interno do que chamamos de ShadowIT</t>
  </si>
  <si>
    <t xml:space="preserve">Consultoria para apoio em Desenvolvimento </t>
  </si>
  <si>
    <t>Estimativa de consultoria para apoio em desenvolvimento de softwares dado a internalização e crescimento da inovação . Base de 2 headcounts de 10k (Analista desenvolvedor Pleno)</t>
  </si>
  <si>
    <t>Manutenção de Nobreaks e outros</t>
  </si>
  <si>
    <t>Peças de reposição (Periféricos em Geral)</t>
  </si>
  <si>
    <t>BREVO (Mensageria)</t>
  </si>
  <si>
    <t xml:space="preserve">SISTEMA ISO (SOGI) - AMBIPAR </t>
  </si>
  <si>
    <t>GRAVITYZONE - Bitdefender</t>
  </si>
  <si>
    <t>Solução de antivirus em substituição do Kaspersky - Valores para 110 licencas (validade de 3 anos com 1 adicional gratuíto)</t>
  </si>
  <si>
    <t>Fornecedor</t>
  </si>
  <si>
    <t>Número do contrato</t>
  </si>
  <si>
    <t>Breve descrição</t>
  </si>
  <si>
    <t>Dt início</t>
  </si>
  <si>
    <t>Dt final</t>
  </si>
  <si>
    <t>Dt canc</t>
  </si>
  <si>
    <t>Av Prévio</t>
  </si>
  <si>
    <t>Vlr atual</t>
  </si>
  <si>
    <t>Vigência</t>
  </si>
  <si>
    <t>Orçamento 2027</t>
  </si>
  <si>
    <t>OBS</t>
  </si>
  <si>
    <t>PLANO</t>
  </si>
  <si>
    <t>Coluna1</t>
  </si>
  <si>
    <t>A2M TECNOLOGIA EM INTERNET LTDA (SURFIX)</t>
  </si>
  <si>
    <t>20260608_SURFIX_VOIP</t>
  </si>
  <si>
    <t>TELEFONIA VOIP (15 LINHAS + PABX DIGITAL COM 4 CANAIS)</t>
  </si>
  <si>
    <t>n/a</t>
  </si>
  <si>
    <t>2 anos</t>
  </si>
  <si>
    <t>ADOBE SYSTEMS SOFTWARE IRELAND LIMITED</t>
  </si>
  <si>
    <t>20260804_ADOBE_D375115D9C47327EC90A</t>
  </si>
  <si>
    <t>ADOBE CLOUD CLOUD PRO / ADOBE STOCK - LICENCAS</t>
  </si>
  <si>
    <t>1 ano</t>
  </si>
  <si>
    <t>REDUZIR PARA 2 LICENCAS</t>
  </si>
  <si>
    <t>ARPSIST SERVICOS DE ENGENHARIA LTDA</t>
  </si>
  <si>
    <t>20260127_ARPSIST - CISCO -PP-2510-003-02</t>
  </si>
  <si>
    <t>RENOVAÇÃO LICENÇAS CISCO MERAKI (3Y) + AQUISIÇÃO AP MR44</t>
  </si>
  <si>
    <t>3 anos</t>
  </si>
  <si>
    <t xml:space="preserve">REDUZIMOS PARA 1300 P/MES </t>
  </si>
  <si>
    <t>20260511_ARPSIST_SUP.NETWORK 2026</t>
  </si>
  <si>
    <t>20260511_PP-2605-010ARPSIST_SUPORTE NETWORK 2026</t>
  </si>
  <si>
    <t>REDUZIR HRS E VLR MES</t>
  </si>
  <si>
    <t>CLICKSIGN GESTÃO DE DOCUMENTOS S/A</t>
  </si>
  <si>
    <t>20250827_CLICKSIGN_42911791705</t>
  </si>
  <si>
    <t>CONTRATO CLICKSIGN PLANO AVANCADO - 3600 DOC/ANO</t>
  </si>
  <si>
    <t>28/08/20026</t>
  </si>
  <si>
    <t>30 dias</t>
  </si>
  <si>
    <t>REAJUSTE IGP/M</t>
  </si>
  <si>
    <t>SEM ALTERAÇÃO</t>
  </si>
  <si>
    <t>COLMEIA CONSULTORIA E REPRESENTAÇÃO COMERCIAL S/A.</t>
  </si>
  <si>
    <t>PLATAFORMA DE CHATBOT</t>
  </si>
  <si>
    <t>60 dias</t>
  </si>
  <si>
    <t xml:space="preserve">1 ano </t>
  </si>
  <si>
    <t xml:space="preserve">SEM ALTERAÇÃO </t>
  </si>
  <si>
    <t xml:space="preserve">ESTÁ ACIMA DEVIDO A FRANQUIA DE USO </t>
  </si>
  <si>
    <t>IMAGINE SOFTWARE LTDA - 4ERP</t>
  </si>
  <si>
    <t>20260514_4ERPLITE/4EXP-JA-2026-081/082</t>
  </si>
  <si>
    <t>JA-2026-081/082 LICENÇA DE USO 4ERP LITE E 4EXPENSES</t>
  </si>
  <si>
    <t>INTERNET SAT SERVIÇOS DE TELECOMUNICAÇÕES LTDA</t>
  </si>
  <si>
    <t>20250521_INTERNETSAT-TELECOM UFV RIACHO</t>
  </si>
  <si>
    <t>INFRA DE TELECOM UFV RIACHO</t>
  </si>
  <si>
    <t>MUNDIVOX CLOUD LTDA.</t>
  </si>
  <si>
    <t>202410_MUNDIVOX_PE</t>
  </si>
  <si>
    <t>INTERNET DEDICADA 500GB PE</t>
  </si>
  <si>
    <t>202603_MUNDIVOX_PE_2 (6371726759/26)</t>
  </si>
  <si>
    <t>INTERNET DEDICADA 150GB PE (UPGRADE LINK PRINCIPAL)</t>
  </si>
  <si>
    <t>PARADIGMA BUSINESS SOLUTIONS LTDA</t>
  </si>
  <si>
    <t>SOFTWARE WBC-ENERGY E SERVIÇOS DE SUSTENTAÇÃO/SUPORTE</t>
  </si>
  <si>
    <t>90 dias</t>
  </si>
  <si>
    <t>REAJUSTE IGP/M E RETORNO DO VALOR ORIGINAL PÓS RENEGOCIAÇÃO</t>
  </si>
  <si>
    <t>MIGRAR BOLETADOR E AVISO PRÉVIO EM DEZEMBRO/26</t>
  </si>
  <si>
    <t>RAMO SISTEMAS DIGITAIS LTDA</t>
  </si>
  <si>
    <t>20251229_RAMO - SAP/ADDONS/SUP PV-246</t>
  </si>
  <si>
    <t>Aquis.Licenças, Addons e Suporte SAP B1</t>
  </si>
  <si>
    <t>20260114_RAMO - PCTO 250 HORAS - P142601</t>
  </si>
  <si>
    <t>PROPOSTA 142601 - CONTR.PACOTE 250 HORAS DESENV.</t>
  </si>
  <si>
    <t>20260327_RAMO - CS26109-CHATBOT&amp;MIGRAÇÃO</t>
  </si>
  <si>
    <t>PROPOSTA CS26109 - CHATBOT &amp; MIGRAÇÃO SAP ALFA -&gt; RAMO (AUTOSKY)</t>
  </si>
  <si>
    <t>20261011_RAMO - 28HS-INTEGR.DOMINIOXSAP</t>
  </si>
  <si>
    <t>PROPOSTA CS26320- CONTR.PACOTE 28 HR DESENV. INTEGRAÇÃO DOMINIO X SAP</t>
  </si>
  <si>
    <t>SKY.ONE TECNOLOGIA EM SOFTWARE S.A</t>
  </si>
  <si>
    <t>202405_2830354-SKYONE STUDIO-3 ANOS</t>
  </si>
  <si>
    <t>SKYONE - PLATAFORMA DE INTEGRAÇÃO DE DADOS SAPONE X PARADIGMA</t>
  </si>
  <si>
    <t>20260212_SKYONE_AUTOSKY_CLOUD SAPB1 RAMO</t>
  </si>
  <si>
    <t>CONTRATO DE HOSPEDAGEM CLOUD AUTOSKY SAP B1 - RAMO</t>
  </si>
  <si>
    <t>MULTA 30% CANCELAMENTO</t>
  </si>
  <si>
    <t>ABRIR TICKET DE RENEGOCIAÇÃO</t>
  </si>
  <si>
    <t>SOU CLOUD SERVIÇOS GERENCIADOS EM NUVEM LTDA</t>
  </si>
  <si>
    <t>20251001_SOUCLOUD SOU-OP-015901</t>
  </si>
  <si>
    <t>SUBSCRIÇÃO ANUAL 2025/2026 - MICROSOFT (OFFICE 365 BUSINESS PREMIUM).</t>
  </si>
  <si>
    <t>MUDAR PARA MENSAL E OTIMIZAR LICENCAS</t>
  </si>
  <si>
    <t>TEAMGUIDE</t>
  </si>
  <si>
    <t>PLATAFORMA DE TEAM   (CONTRATO COM MANU)</t>
  </si>
  <si>
    <t>CANCELAR/CRIAR INTERNAMENTE</t>
  </si>
  <si>
    <t>PROJETO INTERNO</t>
  </si>
  <si>
    <t>TOPdesk Brasil</t>
  </si>
  <si>
    <t>20250219_TOPDESK - QUO-260212-31428</t>
  </si>
  <si>
    <t>2o. ADIT.CONTRATO CESSÃO DE USO NA MODALIDADE SAAS TOPdesk Engaged</t>
  </si>
  <si>
    <t>MULTA 15% SALDO REMANESCENTE SE CANCELAR ANTES</t>
  </si>
  <si>
    <t>MIGRAR GLPI</t>
  </si>
  <si>
    <t>TSPLUS BRASIL CONSULTORIA EM TECNOLOGIA LTDA</t>
  </si>
  <si>
    <t>20260702_TSPLUS_PROPOSTA10690</t>
  </si>
  <si>
    <t>TSPLUS - LICENCA PERPÉTUA</t>
  </si>
  <si>
    <t>VIVO - TELEFONICA BRASIL S/A</t>
  </si>
  <si>
    <t>20231016_VIVO_2875461_VVN (30 LINHAS)</t>
  </si>
  <si>
    <t>VIVO VOZ NEGOCIO - PROPOSTA 2875461 - 30 LINHAS</t>
  </si>
  <si>
    <t>CANC SET/26 - SUBST POR SURFIX</t>
  </si>
  <si>
    <t>20240301_VIVO_2948250_VVN (31 LINHAS)</t>
  </si>
  <si>
    <t>VIVO VOZ NEGOCIO - PROPOSTA 2948250 - 31 LINHAS</t>
  </si>
  <si>
    <t>#########</t>
  </si>
  <si>
    <t>20260113_S000004780954_VIVO_MOVEL_PORT.</t>
  </si>
  <si>
    <t>VIVO MOVEL ILIMITADO SMART EMPRESAS 15GB (4 LINHAS)</t>
  </si>
  <si>
    <t>20260113_S000004790735_VIVO_MOVEL_PORT.</t>
  </si>
  <si>
    <t>VIVO MOVEL ILIMITADO SMART EMPRESAS 15GB (3 LINHAS)</t>
  </si>
  <si>
    <t>20260114_S000004807737_VIVO_MOVEL_PORT.</t>
  </si>
  <si>
    <t>VIVO MOVEL ILIMITADO SMART EMPRESAS 15GB (11 LINHAS)</t>
  </si>
  <si>
    <t>VIVO MOVEL ILIMITADO SMART EMPRESAS 15GB (49 LINHAS) + TRADE-IN 100% DESC 3 MESES</t>
  </si>
  <si>
    <t>20260810_S000006959453_VIVO_MOVEL_PORT.</t>
  </si>
  <si>
    <t>VIVO MOVEL ILIMITADO SMART EMPRESAS 15GB (1 LINHA)</t>
  </si>
  <si>
    <t>YSSY SOLUÇÕES S/A</t>
  </si>
  <si>
    <t>20231002_YSSY-YSOL23/04/19881</t>
  </si>
  <si>
    <t>Licenças Webex e Umbrella</t>
  </si>
  <si>
    <t xml:space="preserve">CANCELAR UMBRELLA 
MERAKI SIFI E FIREWALL FOI RENOVADO EM 2026 POR 3 ANOS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</si>
</sst>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R$&quot;\ #,##0;[Red]\(&quot;R$&quot;\ #,##0\);\-"/>
    <numFmt numFmtId="165" formatCode="&quot;R$&quot;\ #,##0;\(&quot;R$&quot;\ #,##0\);\-"/>
    <numFmt numFmtId="166" formatCode="_-* #,##0_-;\-* #,##0_-;_-* &quot;-&quot;??_-;_-@_-"/>
    <numFmt numFmtId="167" formatCode="_-[$R$-416]\ * #,##0.00_-;\-[$R$-416]\ * #,##0.00_-;_-[$R$-416]\ * &quot;-&quot;??_-;_-@_-"/>
  </numFmts>
  <fonts count="17">
    <font>
      <sz val="11"/>
      <color theme="1"/>
      <name val="Aptos Narrow"/>
    </font>
    <font>
      <b/>
      <sz val="10"/>
      <color theme="0"/>
      <name val="Montserrat"/>
    </font>
    <font>
      <sz val="11"/>
      <color rgb="FF0000FF"/>
      <name val="Aptos Narrow"/>
      <family val="2"/>
    </font>
    <font>
      <sz val="11"/>
      <color rgb="FF263238"/>
      <name val="Aptos Narrow"/>
      <family val="2"/>
    </font>
    <font>
      <b/>
      <sz val="11"/>
      <color rgb="FF263238"/>
      <name val="Aptos Narrow"/>
      <family val="2"/>
    </font>
    <font>
      <sz val="11"/>
      <color rgb="FF008000"/>
      <name val="Aptos Narrow"/>
      <family val="2"/>
    </font>
    <font>
      <b/>
      <sz val="11"/>
      <color rgb="FFFFFFFF"/>
      <name val="Montserrat"/>
    </font>
    <font>
      <i/>
      <sz val="11"/>
      <color rgb="FF263238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Montserrat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11"/>
      <color rgb="FF0000FF"/>
      <name val="Aptos Narrow"/>
    </font>
    <font>
      <b/>
      <sz val="11"/>
      <color rgb="FF0000FF"/>
      <name val="Aptos Narrow"/>
    </font>
    <font>
      <b/>
      <sz val="11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1D3163"/>
      </patternFill>
    </fill>
    <fill>
      <patternFill patternType="solid">
        <fgColor rgb="FF284A83"/>
      </patternFill>
    </fill>
    <fill>
      <patternFill patternType="solid">
        <fgColor rgb="FFF2F4F7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theme="4" tint="0.3999755851924192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8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2" fillId="0" borderId="2" xfId="0" quotePrefix="1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8" fillId="0" borderId="0" xfId="2"/>
    <xf numFmtId="0" fontId="6" fillId="6" borderId="5" xfId="2" applyFont="1" applyFill="1" applyBorder="1" applyAlignment="1">
      <alignment horizontal="center" vertical="center" wrapText="1"/>
    </xf>
    <xf numFmtId="0" fontId="9" fillId="6" borderId="0" xfId="2" applyFont="1" applyFill="1" applyAlignment="1">
      <alignment horizontal="center"/>
    </xf>
    <xf numFmtId="0" fontId="6" fillId="2" borderId="5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166" fontId="6" fillId="2" borderId="0" xfId="2" applyNumberFormat="1" applyFont="1" applyFill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/>
    </xf>
    <xf numFmtId="166" fontId="10" fillId="0" borderId="2" xfId="1" applyNumberFormat="1" applyFont="1" applyBorder="1" applyAlignment="1">
      <alignment horizontal="center"/>
    </xf>
    <xf numFmtId="166" fontId="11" fillId="0" borderId="2" xfId="1" applyNumberFormat="1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14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4" fontId="13" fillId="0" borderId="0" xfId="0" applyNumberFormat="1" applyFont="1" applyAlignment="1">
      <alignment vertical="top"/>
    </xf>
    <xf numFmtId="167" fontId="13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14" fontId="12" fillId="0" borderId="0" xfId="0" applyNumberFormat="1" applyFont="1" applyAlignment="1">
      <alignment vertical="top"/>
    </xf>
    <xf numFmtId="167" fontId="12" fillId="0" borderId="0" xfId="0" applyNumberFormat="1" applyFont="1" applyAlignment="1">
      <alignment vertical="top"/>
    </xf>
    <xf numFmtId="0" fontId="12" fillId="7" borderId="0" xfId="0" applyFont="1" applyFill="1" applyAlignment="1">
      <alignment vertical="top"/>
    </xf>
    <xf numFmtId="0" fontId="12" fillId="7" borderId="0" xfId="0" applyFont="1" applyFill="1" applyAlignment="1">
      <alignment vertical="top" wrapText="1"/>
    </xf>
    <xf numFmtId="14" fontId="12" fillId="7" borderId="0" xfId="0" applyNumberFormat="1" applyFont="1" applyFill="1" applyAlignment="1">
      <alignment vertical="top"/>
    </xf>
    <xf numFmtId="167" fontId="12" fillId="7" borderId="0" xfId="0" applyNumberFormat="1" applyFont="1" applyFill="1" applyAlignment="1">
      <alignment vertical="top"/>
    </xf>
    <xf numFmtId="0" fontId="2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7" borderId="0" xfId="0" applyFill="1"/>
    <xf numFmtId="0" fontId="0" fillId="0" borderId="0" xfId="0" applyAlignment="1">
      <alignment horizontal="center" wrapText="1"/>
    </xf>
    <xf numFmtId="0" fontId="2" fillId="8" borderId="2" xfId="0" applyFont="1" applyFill="1" applyBorder="1" applyAlignment="1">
      <alignment horizontal="center"/>
    </xf>
    <xf numFmtId="0" fontId="16" fillId="7" borderId="0" xfId="0" applyFont="1" applyFill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80D1768A-4D3C-47B9-AC53-405523CB9618}"/>
    <cellStyle name="Vírgula" xfId="1" builtinId="3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7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7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666666"/>
      </font>
      <fill>
        <patternFill patternType="solid">
          <bgColor rgb="FFF2F4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666666"/>
      </font>
      <fill>
        <patternFill patternType="solid">
          <bgColor rgb="FFF2F4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666666"/>
      </font>
      <fill>
        <patternFill patternType="solid">
          <bgColor rgb="FFF2F4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666666"/>
      </font>
      <fill>
        <patternFill patternType="solid">
          <bgColor rgb="FFF2F4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666666"/>
      </font>
      <fill>
        <patternFill patternType="solid">
          <bgColor rgb="FFF2F4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666666"/>
      </font>
      <fill>
        <patternFill patternType="solid">
          <bgColor rgb="FFF2F4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3FEA3-7174-4669-B79D-86408B059057}" name="Tabela1" displayName="Tabela1" ref="A1:M30" totalsRowShown="0" headerRowDxfId="14" dataDxfId="13">
  <autoFilter ref="A1:M30" xr:uid="{AF93FEA3-7174-4669-B79D-86408B059057}"/>
  <tableColumns count="13">
    <tableColumn id="1" xr3:uid="{71309BF6-6B75-43A5-8937-6C4C2CE4F112}" name="Fornecedor" dataDxfId="12"/>
    <tableColumn id="2" xr3:uid="{22D5B4E4-A6DF-442B-9DB8-EB5019150DFB}" name="Número do contrato" dataDxfId="11"/>
    <tableColumn id="3" xr3:uid="{49FD0742-7D9D-49DF-9C4B-46BBE4F91513}" name="Breve descrição" dataDxfId="10"/>
    <tableColumn id="4" xr3:uid="{79B7C621-E617-4488-82F0-5F5A9725EEDC}" name="Dt início" dataDxfId="9"/>
    <tableColumn id="5" xr3:uid="{B49B1B89-0DEB-415C-A8BD-2AB1F9E09B0A}" name="Dt final" dataDxfId="8"/>
    <tableColumn id="6" xr3:uid="{903D3F98-3111-4BB4-B991-48CAB519CB51}" name="Dt canc" dataDxfId="7"/>
    <tableColumn id="13" xr3:uid="{12CF056C-70CF-4DB9-BDBE-91504D4EE570}" name="Av Prévio" dataDxfId="6"/>
    <tableColumn id="7" xr3:uid="{AA3827E6-F869-4A4F-A301-311F59D0AAFB}" name="Vlr atual" dataDxfId="5"/>
    <tableColumn id="8" xr3:uid="{F00EB02F-FEB7-4166-88D4-D2AAC1CFCBD0}" name="Vigência" dataDxfId="4"/>
    <tableColumn id="11" xr3:uid="{D7B833B8-F53E-41B3-8F8C-5AB09FB3392D}" name="Orçamento 2027" dataDxfId="3">
      <calculatedColumnFormula>Tabela1[[#This Row],[Vlr atual]]*1.0411</calculatedColumnFormula>
    </tableColumn>
    <tableColumn id="12" xr3:uid="{E9A34EDB-F727-4285-AE97-BA5B564BF45A}" name="OBS" dataDxfId="2"/>
    <tableColumn id="14" xr3:uid="{9AC9DEAB-A540-4927-8F61-B17E5375C2FF}" name="PLANO" dataDxfId="1"/>
    <tableColumn id="15" xr3:uid="{A7B5A1C2-602D-402D-B62A-1834B36B5489}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E5C8-7878-435E-BB74-CE6F41049158}">
  <dimension ref="B1:M81"/>
  <sheetViews>
    <sheetView showGridLines="0" topLeftCell="C1" workbookViewId="0">
      <selection activeCell="C7" sqref="C7:D7"/>
    </sheetView>
  </sheetViews>
  <sheetFormatPr defaultRowHeight="14.45"/>
  <cols>
    <col min="1" max="1" width="2.7109375" customWidth="1"/>
    <col min="2" max="2" width="21.140625" style="1" customWidth="1"/>
    <col min="3" max="3" width="28.42578125" style="1" customWidth="1"/>
    <col min="4" max="4" width="18.85546875" style="1" customWidth="1"/>
    <col min="5" max="5" width="2.7109375" customWidth="1"/>
    <col min="6" max="8" width="17" style="1" customWidth="1"/>
    <col min="9" max="9" width="2.7109375" customWidth="1"/>
    <col min="10" max="10" width="57.140625" style="1" customWidth="1"/>
    <col min="11" max="11" width="29.42578125" style="1" customWidth="1"/>
    <col min="12" max="12" width="23.7109375" style="1" customWidth="1"/>
  </cols>
  <sheetData>
    <row r="1" spans="2:13" ht="6" customHeight="1"/>
    <row r="2" spans="2:13" ht="15">
      <c r="B2" s="2" t="s">
        <v>0</v>
      </c>
      <c r="C2" s="2" t="s">
        <v>1</v>
      </c>
      <c r="D2" s="2" t="s">
        <v>2</v>
      </c>
      <c r="F2" s="2" t="s">
        <v>3</v>
      </c>
      <c r="G2" s="2" t="s">
        <v>4</v>
      </c>
      <c r="H2" s="2" t="s">
        <v>5</v>
      </c>
      <c r="J2" s="2" t="s">
        <v>6</v>
      </c>
      <c r="K2" s="2" t="s">
        <v>7</v>
      </c>
      <c r="L2" s="2" t="s">
        <v>8</v>
      </c>
    </row>
    <row r="3" spans="2:13">
      <c r="B3" s="1" t="s">
        <v>9</v>
      </c>
      <c r="C3" s="1" t="s">
        <v>10</v>
      </c>
      <c r="D3" s="1" t="s">
        <v>11</v>
      </c>
      <c r="J3" s="1" t="s">
        <v>12</v>
      </c>
      <c r="K3" s="1" t="s">
        <v>13</v>
      </c>
      <c r="L3" s="1" t="s">
        <v>14</v>
      </c>
      <c r="M3" t="s">
        <v>15</v>
      </c>
    </row>
    <row r="4" spans="2:13">
      <c r="B4" s="1" t="s">
        <v>16</v>
      </c>
      <c r="C4" s="1" t="s">
        <v>17</v>
      </c>
      <c r="D4" s="1" t="s">
        <v>18</v>
      </c>
      <c r="J4" s="1" t="s">
        <v>19</v>
      </c>
      <c r="K4" s="1" t="s">
        <v>20</v>
      </c>
      <c r="L4" s="1" t="s">
        <v>14</v>
      </c>
      <c r="M4" t="s">
        <v>20</v>
      </c>
    </row>
    <row r="5" spans="2:13">
      <c r="B5" s="1" t="s">
        <v>21</v>
      </c>
      <c r="C5" s="1" t="s">
        <v>22</v>
      </c>
      <c r="D5" s="1" t="s">
        <v>23</v>
      </c>
      <c r="J5" s="1" t="s">
        <v>24</v>
      </c>
      <c r="K5" s="1" t="s">
        <v>25</v>
      </c>
      <c r="L5" s="1" t="s">
        <v>25</v>
      </c>
      <c r="M5" t="s">
        <v>26</v>
      </c>
    </row>
    <row r="6" spans="2:13">
      <c r="B6" s="1" t="s">
        <v>27</v>
      </c>
      <c r="C6" s="1" t="s">
        <v>28</v>
      </c>
      <c r="D6" s="1" t="s">
        <v>29</v>
      </c>
      <c r="J6" s="1" t="s">
        <v>30</v>
      </c>
      <c r="K6" s="1" t="s">
        <v>31</v>
      </c>
      <c r="L6" s="1" t="s">
        <v>32</v>
      </c>
      <c r="M6" t="s">
        <v>33</v>
      </c>
    </row>
    <row r="7" spans="2:13">
      <c r="B7" s="1" t="s">
        <v>34</v>
      </c>
      <c r="C7" s="1" t="s">
        <v>35</v>
      </c>
      <c r="D7" s="1" t="s">
        <v>36</v>
      </c>
      <c r="J7" s="1" t="s">
        <v>37</v>
      </c>
      <c r="K7" s="1" t="s">
        <v>38</v>
      </c>
      <c r="L7" s="1" t="s">
        <v>32</v>
      </c>
      <c r="M7" t="s">
        <v>39</v>
      </c>
    </row>
    <row r="8" spans="2:13">
      <c r="B8" s="1" t="s">
        <v>40</v>
      </c>
      <c r="C8" s="1" t="s">
        <v>41</v>
      </c>
      <c r="D8" s="1" t="s">
        <v>42</v>
      </c>
      <c r="J8" s="1" t="s">
        <v>43</v>
      </c>
      <c r="K8" s="1" t="s">
        <v>44</v>
      </c>
      <c r="L8" s="1" t="s">
        <v>32</v>
      </c>
      <c r="M8" t="s">
        <v>45</v>
      </c>
    </row>
    <row r="9" spans="2:13">
      <c r="B9" s="1" t="s">
        <v>46</v>
      </c>
      <c r="C9" s="1" t="s">
        <v>47</v>
      </c>
      <c r="D9" s="1" t="s">
        <v>48</v>
      </c>
      <c r="J9" s="1" t="s">
        <v>49</v>
      </c>
      <c r="K9" s="1" t="s">
        <v>50</v>
      </c>
      <c r="L9" s="1" t="s">
        <v>32</v>
      </c>
      <c r="M9" t="s">
        <v>51</v>
      </c>
    </row>
    <row r="10" spans="2:13">
      <c r="B10" s="1" t="s">
        <v>52</v>
      </c>
      <c r="C10" s="1" t="s">
        <v>53</v>
      </c>
      <c r="D10" s="1" t="s">
        <v>54</v>
      </c>
      <c r="J10" s="1" t="s">
        <v>55</v>
      </c>
      <c r="K10" s="1" t="s">
        <v>56</v>
      </c>
      <c r="L10" s="1" t="s">
        <v>32</v>
      </c>
      <c r="M10" t="s">
        <v>57</v>
      </c>
    </row>
    <row r="11" spans="2:13">
      <c r="B11" s="1" t="s">
        <v>58</v>
      </c>
      <c r="C11" s="1" t="s">
        <v>59</v>
      </c>
      <c r="D11" s="1" t="s">
        <v>60</v>
      </c>
      <c r="J11" s="1" t="s">
        <v>61</v>
      </c>
      <c r="K11" s="1" t="s">
        <v>62</v>
      </c>
      <c r="L11" s="1" t="s">
        <v>32</v>
      </c>
      <c r="M11" t="s">
        <v>63</v>
      </c>
    </row>
    <row r="12" spans="2:13">
      <c r="B12" s="1" t="s">
        <v>64</v>
      </c>
      <c r="C12" s="1" t="s">
        <v>65</v>
      </c>
      <c r="D12" s="1" t="s">
        <v>66</v>
      </c>
      <c r="J12" s="1" t="s">
        <v>67</v>
      </c>
      <c r="K12" s="1" t="s">
        <v>68</v>
      </c>
      <c r="L12" s="1" t="s">
        <v>32</v>
      </c>
      <c r="M12" t="s">
        <v>69</v>
      </c>
    </row>
    <row r="13" spans="2:13">
      <c r="B13" s="1" t="s">
        <v>70</v>
      </c>
      <c r="C13" s="1" t="s">
        <v>71</v>
      </c>
      <c r="D13" s="1" t="s">
        <v>54</v>
      </c>
      <c r="J13" s="1" t="s">
        <v>72</v>
      </c>
      <c r="K13" s="1" t="s">
        <v>73</v>
      </c>
      <c r="L13" s="1" t="s">
        <v>32</v>
      </c>
      <c r="M13" t="s">
        <v>74</v>
      </c>
    </row>
    <row r="14" spans="2:13">
      <c r="B14" s="1" t="s">
        <v>75</v>
      </c>
      <c r="C14" s="1" t="s">
        <v>76</v>
      </c>
      <c r="D14" s="1" t="s">
        <v>11</v>
      </c>
      <c r="J14" s="1" t="s">
        <v>77</v>
      </c>
      <c r="K14" s="1" t="s">
        <v>78</v>
      </c>
      <c r="L14" s="1" t="s">
        <v>32</v>
      </c>
      <c r="M14" t="s">
        <v>79</v>
      </c>
    </row>
    <row r="15" spans="2:13">
      <c r="B15" s="1" t="s">
        <v>80</v>
      </c>
      <c r="C15" s="1" t="s">
        <v>81</v>
      </c>
      <c r="D15" s="1" t="s">
        <v>42</v>
      </c>
      <c r="J15" s="1" t="s">
        <v>82</v>
      </c>
      <c r="K15" s="1" t="s">
        <v>83</v>
      </c>
      <c r="L15" s="1" t="s">
        <v>83</v>
      </c>
      <c r="M15" t="s">
        <v>84</v>
      </c>
    </row>
    <row r="16" spans="2:13">
      <c r="B16" s="1" t="s">
        <v>85</v>
      </c>
      <c r="C16" s="1" t="s">
        <v>86</v>
      </c>
      <c r="D16" s="1" t="s">
        <v>87</v>
      </c>
      <c r="J16" s="1" t="s">
        <v>88</v>
      </c>
      <c r="K16" s="1" t="s">
        <v>89</v>
      </c>
      <c r="L16" s="1" t="s">
        <v>89</v>
      </c>
      <c r="M16" t="s">
        <v>88</v>
      </c>
    </row>
    <row r="17" spans="2:13">
      <c r="B17" s="1" t="s">
        <v>90</v>
      </c>
      <c r="C17" s="1" t="s">
        <v>4</v>
      </c>
      <c r="D17" s="1" t="s">
        <v>91</v>
      </c>
      <c r="J17" s="1" t="s">
        <v>92</v>
      </c>
      <c r="K17" s="1" t="s">
        <v>93</v>
      </c>
      <c r="L17" s="1" t="s">
        <v>94</v>
      </c>
      <c r="M17" t="s">
        <v>95</v>
      </c>
    </row>
    <row r="18" spans="2:13">
      <c r="B18" s="1" t="s">
        <v>96</v>
      </c>
      <c r="C18" s="1" t="s">
        <v>5</v>
      </c>
      <c r="D18" s="1" t="s">
        <v>97</v>
      </c>
      <c r="J18" s="1" t="s">
        <v>98</v>
      </c>
      <c r="K18" s="1" t="s">
        <v>99</v>
      </c>
      <c r="L18" s="1" t="s">
        <v>99</v>
      </c>
      <c r="M18" t="s">
        <v>98</v>
      </c>
    </row>
    <row r="19" spans="2:13">
      <c r="B19" s="1" t="s">
        <v>100</v>
      </c>
      <c r="C19" s="1" t="s">
        <v>101</v>
      </c>
      <c r="D19" s="1" t="s">
        <v>102</v>
      </c>
      <c r="J19" s="1" t="s">
        <v>103</v>
      </c>
      <c r="K19" s="1" t="s">
        <v>104</v>
      </c>
      <c r="L19" s="1" t="s">
        <v>105</v>
      </c>
      <c r="M19" t="s">
        <v>103</v>
      </c>
    </row>
    <row r="20" spans="2:13">
      <c r="B20" s="1" t="s">
        <v>106</v>
      </c>
      <c r="C20" s="1" t="s">
        <v>107</v>
      </c>
      <c r="D20" s="1" t="s">
        <v>102</v>
      </c>
      <c r="J20" s="1" t="s">
        <v>108</v>
      </c>
      <c r="K20" s="1" t="s">
        <v>109</v>
      </c>
      <c r="L20" s="1" t="s">
        <v>109</v>
      </c>
      <c r="M20" t="s">
        <v>108</v>
      </c>
    </row>
    <row r="21" spans="2:13">
      <c r="B21" s="1" t="s">
        <v>110</v>
      </c>
      <c r="C21" s="1" t="s">
        <v>111</v>
      </c>
      <c r="D21" s="1" t="s">
        <v>23</v>
      </c>
      <c r="J21" s="1" t="s">
        <v>112</v>
      </c>
      <c r="K21" s="1" t="s">
        <v>113</v>
      </c>
      <c r="L21" s="1" t="s">
        <v>94</v>
      </c>
      <c r="M21" t="s">
        <v>113</v>
      </c>
    </row>
    <row r="22" spans="2:13">
      <c r="J22" s="1" t="s">
        <v>114</v>
      </c>
      <c r="K22" s="1" t="s">
        <v>115</v>
      </c>
      <c r="L22" s="1" t="s">
        <v>115</v>
      </c>
      <c r="M22" t="s">
        <v>116</v>
      </c>
    </row>
    <row r="23" spans="2:13">
      <c r="J23" s="1" t="s">
        <v>117</v>
      </c>
      <c r="K23" s="1" t="s">
        <v>118</v>
      </c>
      <c r="L23" s="1" t="s">
        <v>118</v>
      </c>
      <c r="M23" t="s">
        <v>117</v>
      </c>
    </row>
    <row r="24" spans="2:13">
      <c r="J24" s="1" t="s">
        <v>119</v>
      </c>
      <c r="K24" s="1" t="s">
        <v>120</v>
      </c>
      <c r="L24" s="1" t="s">
        <v>32</v>
      </c>
      <c r="M24" t="s">
        <v>121</v>
      </c>
    </row>
    <row r="25" spans="2:13">
      <c r="J25" s="1" t="s">
        <v>122</v>
      </c>
      <c r="K25" s="1" t="s">
        <v>123</v>
      </c>
      <c r="L25" s="1" t="s">
        <v>124</v>
      </c>
      <c r="M25" t="s">
        <v>125</v>
      </c>
    </row>
    <row r="26" spans="2:13">
      <c r="J26" s="1" t="s">
        <v>126</v>
      </c>
      <c r="K26" s="1" t="s">
        <v>127</v>
      </c>
      <c r="L26" s="1" t="s">
        <v>124</v>
      </c>
      <c r="M26" t="s">
        <v>128</v>
      </c>
    </row>
    <row r="27" spans="2:13">
      <c r="J27" s="1" t="s">
        <v>129</v>
      </c>
      <c r="K27" s="1" t="s">
        <v>130</v>
      </c>
      <c r="L27" s="1" t="s">
        <v>124</v>
      </c>
      <c r="M27" t="s">
        <v>131</v>
      </c>
    </row>
    <row r="28" spans="2:13">
      <c r="J28" s="1" t="s">
        <v>132</v>
      </c>
      <c r="K28" s="1" t="s">
        <v>133</v>
      </c>
      <c r="L28" s="1" t="s">
        <v>124</v>
      </c>
      <c r="M28" t="s">
        <v>134</v>
      </c>
    </row>
    <row r="29" spans="2:13">
      <c r="J29" s="1" t="s">
        <v>135</v>
      </c>
      <c r="K29" s="1" t="s">
        <v>136</v>
      </c>
      <c r="L29" s="1" t="s">
        <v>124</v>
      </c>
      <c r="M29" t="s">
        <v>137</v>
      </c>
    </row>
    <row r="30" spans="2:13">
      <c r="J30" s="1" t="s">
        <v>138</v>
      </c>
      <c r="K30" s="1" t="s">
        <v>139</v>
      </c>
      <c r="L30" s="1" t="s">
        <v>124</v>
      </c>
      <c r="M30" t="s">
        <v>140</v>
      </c>
    </row>
    <row r="31" spans="2:13">
      <c r="J31" s="1" t="s">
        <v>141</v>
      </c>
      <c r="K31" s="1" t="s">
        <v>142</v>
      </c>
      <c r="L31" s="1" t="s">
        <v>124</v>
      </c>
      <c r="M31" t="s">
        <v>143</v>
      </c>
    </row>
    <row r="32" spans="2:13">
      <c r="J32" s="1" t="s">
        <v>144</v>
      </c>
      <c r="K32" s="1" t="s">
        <v>145</v>
      </c>
      <c r="L32" s="1" t="s">
        <v>124</v>
      </c>
      <c r="M32" t="s">
        <v>146</v>
      </c>
    </row>
    <row r="33" spans="10:13">
      <c r="J33" s="1" t="s">
        <v>147</v>
      </c>
      <c r="K33" s="1" t="s">
        <v>148</v>
      </c>
      <c r="L33" s="1" t="s">
        <v>124</v>
      </c>
      <c r="M33" t="s">
        <v>149</v>
      </c>
    </row>
    <row r="34" spans="10:13">
      <c r="J34" s="1" t="s">
        <v>150</v>
      </c>
      <c r="K34" s="1" t="s">
        <v>151</v>
      </c>
      <c r="L34" s="1" t="s">
        <v>124</v>
      </c>
      <c r="M34" t="s">
        <v>152</v>
      </c>
    </row>
    <row r="35" spans="10:13">
      <c r="J35" s="1" t="s">
        <v>153</v>
      </c>
      <c r="K35" s="1" t="s">
        <v>154</v>
      </c>
      <c r="L35" s="1" t="s">
        <v>124</v>
      </c>
      <c r="M35" t="s">
        <v>155</v>
      </c>
    </row>
    <row r="36" spans="10:13">
      <c r="J36" s="1" t="s">
        <v>156</v>
      </c>
      <c r="K36" s="1" t="s">
        <v>157</v>
      </c>
      <c r="L36" s="1" t="s">
        <v>124</v>
      </c>
      <c r="M36" t="s">
        <v>158</v>
      </c>
    </row>
    <row r="37" spans="10:13">
      <c r="J37" s="1" t="s">
        <v>159</v>
      </c>
      <c r="K37" s="1" t="s">
        <v>160</v>
      </c>
      <c r="L37" s="1" t="s">
        <v>124</v>
      </c>
      <c r="M37" t="s">
        <v>161</v>
      </c>
    </row>
    <row r="38" spans="10:13">
      <c r="J38" s="1" t="s">
        <v>162</v>
      </c>
      <c r="K38" s="1" t="s">
        <v>163</v>
      </c>
      <c r="L38" s="1" t="s">
        <v>124</v>
      </c>
      <c r="M38" t="s">
        <v>162</v>
      </c>
    </row>
    <row r="39" spans="10:13">
      <c r="J39" s="1" t="s">
        <v>164</v>
      </c>
      <c r="K39" s="1" t="s">
        <v>165</v>
      </c>
      <c r="L39" s="1" t="s">
        <v>124</v>
      </c>
      <c r="M39" t="s">
        <v>166</v>
      </c>
    </row>
    <row r="40" spans="10:13">
      <c r="J40" s="1" t="s">
        <v>167</v>
      </c>
      <c r="K40" s="1" t="s">
        <v>168</v>
      </c>
      <c r="L40" s="1" t="s">
        <v>124</v>
      </c>
      <c r="M40" t="s">
        <v>169</v>
      </c>
    </row>
    <row r="41" spans="10:13">
      <c r="J41" s="1" t="s">
        <v>170</v>
      </c>
      <c r="K41" s="1" t="s">
        <v>171</v>
      </c>
      <c r="L41" s="1" t="s">
        <v>124</v>
      </c>
      <c r="M41" t="s">
        <v>172</v>
      </c>
    </row>
    <row r="42" spans="10:13">
      <c r="J42" s="1" t="s">
        <v>173</v>
      </c>
      <c r="K42" s="1" t="s">
        <v>174</v>
      </c>
      <c r="L42" s="1" t="s">
        <v>124</v>
      </c>
      <c r="M42" t="s">
        <v>175</v>
      </c>
    </row>
    <row r="43" spans="10:13">
      <c r="J43" s="1" t="s">
        <v>176</v>
      </c>
      <c r="K43" s="1" t="s">
        <v>177</v>
      </c>
      <c r="L43" s="1" t="s">
        <v>124</v>
      </c>
      <c r="M43" t="s">
        <v>178</v>
      </c>
    </row>
    <row r="44" spans="10:13">
      <c r="J44" s="1" t="s">
        <v>179</v>
      </c>
      <c r="K44" s="1" t="s">
        <v>180</v>
      </c>
      <c r="L44" s="1" t="s">
        <v>124</v>
      </c>
      <c r="M44" t="s">
        <v>181</v>
      </c>
    </row>
    <row r="45" spans="10:13">
      <c r="J45" s="1" t="s">
        <v>182</v>
      </c>
      <c r="K45" s="1" t="s">
        <v>183</v>
      </c>
      <c r="L45" s="1" t="s">
        <v>124</v>
      </c>
      <c r="M45" t="s">
        <v>184</v>
      </c>
    </row>
    <row r="46" spans="10:13">
      <c r="J46" s="1" t="s">
        <v>185</v>
      </c>
      <c r="K46" s="1" t="s">
        <v>186</v>
      </c>
      <c r="L46" s="1" t="s">
        <v>124</v>
      </c>
      <c r="M46" t="s">
        <v>187</v>
      </c>
    </row>
    <row r="47" spans="10:13">
      <c r="J47" s="1" t="s">
        <v>188</v>
      </c>
      <c r="K47" s="1" t="s">
        <v>189</v>
      </c>
      <c r="L47" s="1" t="s">
        <v>124</v>
      </c>
      <c r="M47" t="s">
        <v>190</v>
      </c>
    </row>
    <row r="48" spans="10:13">
      <c r="J48" s="1" t="s">
        <v>191</v>
      </c>
      <c r="K48" s="1" t="s">
        <v>192</v>
      </c>
      <c r="L48" s="1" t="s">
        <v>124</v>
      </c>
      <c r="M48" t="s">
        <v>193</v>
      </c>
    </row>
    <row r="49" spans="10:13">
      <c r="J49" s="1" t="s">
        <v>194</v>
      </c>
      <c r="K49" s="1" t="s">
        <v>195</v>
      </c>
      <c r="L49" s="1" t="s">
        <v>124</v>
      </c>
      <c r="M49" t="s">
        <v>196</v>
      </c>
    </row>
    <row r="50" spans="10:13">
      <c r="J50" s="1" t="s">
        <v>197</v>
      </c>
      <c r="K50" s="1" t="s">
        <v>198</v>
      </c>
      <c r="L50" s="1" t="s">
        <v>124</v>
      </c>
      <c r="M50" t="s">
        <v>199</v>
      </c>
    </row>
    <row r="51" spans="10:13">
      <c r="J51" s="1" t="s">
        <v>200</v>
      </c>
      <c r="K51" s="1" t="s">
        <v>201</v>
      </c>
      <c r="L51" s="1" t="s">
        <v>124</v>
      </c>
      <c r="M51" t="s">
        <v>202</v>
      </c>
    </row>
    <row r="52" spans="10:13">
      <c r="J52" s="1" t="s">
        <v>203</v>
      </c>
      <c r="K52" s="1" t="s">
        <v>204</v>
      </c>
      <c r="L52" s="1" t="s">
        <v>124</v>
      </c>
      <c r="M52" t="s">
        <v>205</v>
      </c>
    </row>
    <row r="53" spans="10:13">
      <c r="J53" s="1" t="s">
        <v>206</v>
      </c>
      <c r="K53" s="1" t="s">
        <v>207</v>
      </c>
      <c r="L53" s="1" t="s">
        <v>124</v>
      </c>
      <c r="M53" t="s">
        <v>208</v>
      </c>
    </row>
    <row r="54" spans="10:13">
      <c r="J54" s="1" t="s">
        <v>209</v>
      </c>
      <c r="K54" s="1" t="s">
        <v>210</v>
      </c>
      <c r="L54" s="1" t="s">
        <v>124</v>
      </c>
      <c r="M54" t="s">
        <v>211</v>
      </c>
    </row>
    <row r="55" spans="10:13">
      <c r="J55" s="1" t="s">
        <v>212</v>
      </c>
      <c r="K55" s="1" t="s">
        <v>213</v>
      </c>
      <c r="L55" s="1" t="s">
        <v>124</v>
      </c>
      <c r="M55" t="s">
        <v>214</v>
      </c>
    </row>
    <row r="56" spans="10:13">
      <c r="J56" s="1" t="s">
        <v>215</v>
      </c>
      <c r="K56" s="1" t="s">
        <v>216</v>
      </c>
      <c r="L56" s="1" t="s">
        <v>124</v>
      </c>
      <c r="M56" t="s">
        <v>217</v>
      </c>
    </row>
    <row r="57" spans="10:13">
      <c r="J57" s="1" t="s">
        <v>218</v>
      </c>
      <c r="K57" s="1" t="s">
        <v>219</v>
      </c>
      <c r="L57" s="1" t="s">
        <v>124</v>
      </c>
      <c r="M57" t="s">
        <v>220</v>
      </c>
    </row>
    <row r="58" spans="10:13">
      <c r="J58" s="1" t="s">
        <v>221</v>
      </c>
      <c r="K58" s="1" t="s">
        <v>222</v>
      </c>
      <c r="L58" s="1" t="s">
        <v>124</v>
      </c>
      <c r="M58" t="s">
        <v>223</v>
      </c>
    </row>
    <row r="59" spans="10:13">
      <c r="J59" s="1" t="s">
        <v>224</v>
      </c>
      <c r="K59" s="1" t="s">
        <v>225</v>
      </c>
      <c r="L59" s="1" t="s">
        <v>124</v>
      </c>
      <c r="M59" t="s">
        <v>226</v>
      </c>
    </row>
    <row r="60" spans="10:13">
      <c r="J60" s="1" t="s">
        <v>227</v>
      </c>
      <c r="K60" s="1" t="s">
        <v>228</v>
      </c>
      <c r="L60" s="1" t="s">
        <v>124</v>
      </c>
      <c r="M60" t="s">
        <v>229</v>
      </c>
    </row>
    <row r="61" spans="10:13">
      <c r="J61" s="1" t="s">
        <v>230</v>
      </c>
      <c r="K61" s="1" t="s">
        <v>231</v>
      </c>
      <c r="L61" s="1" t="s">
        <v>124</v>
      </c>
      <c r="M61" t="s">
        <v>232</v>
      </c>
    </row>
    <row r="62" spans="10:13">
      <c r="J62" s="1" t="s">
        <v>233</v>
      </c>
      <c r="K62" s="1" t="s">
        <v>234</v>
      </c>
      <c r="L62" s="1" t="s">
        <v>124</v>
      </c>
      <c r="M62" t="s">
        <v>235</v>
      </c>
    </row>
    <row r="63" spans="10:13">
      <c r="J63" s="1" t="s">
        <v>236</v>
      </c>
      <c r="K63" s="1" t="s">
        <v>237</v>
      </c>
      <c r="L63" s="1" t="s">
        <v>124</v>
      </c>
      <c r="M63" t="s">
        <v>238</v>
      </c>
    </row>
    <row r="64" spans="10:13">
      <c r="J64" s="1" t="s">
        <v>239</v>
      </c>
      <c r="K64" s="1" t="s">
        <v>240</v>
      </c>
      <c r="L64" s="1" t="s">
        <v>124</v>
      </c>
      <c r="M64" t="s">
        <v>241</v>
      </c>
    </row>
    <row r="65" spans="10:13">
      <c r="J65" s="1" t="s">
        <v>242</v>
      </c>
      <c r="K65" s="1" t="s">
        <v>243</v>
      </c>
      <c r="L65" s="1" t="s">
        <v>124</v>
      </c>
      <c r="M65" t="s">
        <v>244</v>
      </c>
    </row>
    <row r="66" spans="10:13">
      <c r="J66" s="1" t="s">
        <v>245</v>
      </c>
      <c r="K66" s="1" t="s">
        <v>246</v>
      </c>
      <c r="L66" s="1" t="s">
        <v>124</v>
      </c>
      <c r="M66" t="s">
        <v>247</v>
      </c>
    </row>
    <row r="67" spans="10:13">
      <c r="J67" s="1" t="s">
        <v>248</v>
      </c>
      <c r="K67" s="1" t="s">
        <v>249</v>
      </c>
      <c r="L67" s="1" t="s">
        <v>124</v>
      </c>
      <c r="M67" t="s">
        <v>250</v>
      </c>
    </row>
    <row r="68" spans="10:13">
      <c r="J68" s="1" t="s">
        <v>251</v>
      </c>
      <c r="K68" s="1" t="s">
        <v>252</v>
      </c>
      <c r="L68" s="1" t="s">
        <v>124</v>
      </c>
      <c r="M68" t="s">
        <v>253</v>
      </c>
    </row>
    <row r="69" spans="10:13">
      <c r="J69" s="1" t="s">
        <v>254</v>
      </c>
      <c r="K69" s="1" t="s">
        <v>255</v>
      </c>
      <c r="L69" s="1" t="s">
        <v>124</v>
      </c>
      <c r="M69" t="s">
        <v>256</v>
      </c>
    </row>
    <row r="70" spans="10:13">
      <c r="J70" s="1" t="s">
        <v>257</v>
      </c>
      <c r="K70" s="1" t="s">
        <v>258</v>
      </c>
      <c r="L70" s="1" t="s">
        <v>124</v>
      </c>
      <c r="M70" t="s">
        <v>259</v>
      </c>
    </row>
    <row r="71" spans="10:13">
      <c r="J71" s="1" t="s">
        <v>260</v>
      </c>
      <c r="K71" s="1" t="s">
        <v>261</v>
      </c>
      <c r="L71" s="1" t="s">
        <v>124</v>
      </c>
      <c r="M71" t="s">
        <v>262</v>
      </c>
    </row>
    <row r="72" spans="10:13">
      <c r="J72" s="1" t="s">
        <v>263</v>
      </c>
      <c r="K72" s="1" t="s">
        <v>264</v>
      </c>
      <c r="L72" s="1" t="s">
        <v>124</v>
      </c>
      <c r="M72" t="s">
        <v>265</v>
      </c>
    </row>
    <row r="73" spans="10:13">
      <c r="J73" s="1" t="s">
        <v>266</v>
      </c>
      <c r="K73" s="1" t="s">
        <v>267</v>
      </c>
      <c r="L73" s="1" t="s">
        <v>124</v>
      </c>
      <c r="M73" t="s">
        <v>268</v>
      </c>
    </row>
    <row r="74" spans="10:13">
      <c r="J74" s="1" t="s">
        <v>269</v>
      </c>
      <c r="K74" s="1" t="s">
        <v>270</v>
      </c>
      <c r="L74" s="1" t="s">
        <v>124</v>
      </c>
      <c r="M74" t="s">
        <v>271</v>
      </c>
    </row>
    <row r="75" spans="10:13">
      <c r="J75" s="1" t="s">
        <v>272</v>
      </c>
      <c r="K75" s="1" t="s">
        <v>273</v>
      </c>
      <c r="L75" s="1" t="s">
        <v>124</v>
      </c>
      <c r="M75" t="s">
        <v>274</v>
      </c>
    </row>
    <row r="76" spans="10:13">
      <c r="J76" s="1" t="s">
        <v>275</v>
      </c>
      <c r="K76" s="1" t="s">
        <v>276</v>
      </c>
      <c r="L76" s="1" t="s">
        <v>124</v>
      </c>
      <c r="M76" t="s">
        <v>277</v>
      </c>
    </row>
    <row r="77" spans="10:13">
      <c r="J77" s="1" t="s">
        <v>278</v>
      </c>
      <c r="K77" s="1" t="s">
        <v>279</v>
      </c>
      <c r="L77" s="1" t="s">
        <v>124</v>
      </c>
      <c r="M77" t="s">
        <v>280</v>
      </c>
    </row>
    <row r="78" spans="10:13">
      <c r="J78" s="1" t="s">
        <v>281</v>
      </c>
      <c r="K78" s="1" t="s">
        <v>282</v>
      </c>
      <c r="L78" s="1" t="s">
        <v>124</v>
      </c>
      <c r="M78" t="s">
        <v>283</v>
      </c>
    </row>
    <row r="79" spans="10:13">
      <c r="J79" s="1" t="s">
        <v>284</v>
      </c>
      <c r="K79" s="1" t="s">
        <v>285</v>
      </c>
      <c r="L79" s="1" t="s">
        <v>124</v>
      </c>
      <c r="M79" t="s">
        <v>286</v>
      </c>
    </row>
    <row r="80" spans="10:13">
      <c r="J80" s="1" t="s">
        <v>287</v>
      </c>
      <c r="K80" s="1" t="s">
        <v>288</v>
      </c>
      <c r="L80" s="1" t="s">
        <v>124</v>
      </c>
      <c r="M80" t="s">
        <v>289</v>
      </c>
    </row>
    <row r="81" spans="10:13">
      <c r="J81" s="1" t="s">
        <v>290</v>
      </c>
      <c r="K81" s="1" t="s">
        <v>291</v>
      </c>
      <c r="L81" s="1" t="s">
        <v>124</v>
      </c>
      <c r="M81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A551-5C2B-4481-A6B3-2FAA7332E7B5}">
  <sheetPr filterMode="1"/>
  <dimension ref="B1:J210"/>
  <sheetViews>
    <sheetView showGridLines="0" topLeftCell="A2" workbookViewId="0">
      <selection activeCell="G8" sqref="G8"/>
    </sheetView>
  </sheetViews>
  <sheetFormatPr defaultRowHeight="14.45"/>
  <cols>
    <col min="1" max="1" width="1.7109375" customWidth="1"/>
    <col min="2" max="2" width="16" customWidth="1"/>
    <col min="3" max="3" width="61.7109375" customWidth="1"/>
    <col min="4" max="4" width="33.5703125" customWidth="1"/>
    <col min="5" max="5" width="41.7109375" customWidth="1"/>
  </cols>
  <sheetData>
    <row r="1" spans="2:10" ht="6.6" customHeight="1"/>
    <row r="2" spans="2:10" ht="30">
      <c r="B2" s="2" t="s">
        <v>293</v>
      </c>
      <c r="C2" s="2" t="s">
        <v>294</v>
      </c>
      <c r="D2" s="2" t="s">
        <v>295</v>
      </c>
      <c r="E2" s="2" t="s">
        <v>296</v>
      </c>
      <c r="J2" t="s">
        <v>297</v>
      </c>
    </row>
    <row r="3" spans="2:10" hidden="1">
      <c r="B3" s="1">
        <v>3110100101</v>
      </c>
      <c r="C3" s="1" t="s">
        <v>298</v>
      </c>
      <c r="D3" s="1" t="s">
        <v>299</v>
      </c>
      <c r="E3" s="1" t="s">
        <v>300</v>
      </c>
      <c r="J3" t="s">
        <v>301</v>
      </c>
    </row>
    <row r="4" spans="2:10" hidden="1">
      <c r="B4" s="1">
        <v>3110100102</v>
      </c>
      <c r="C4" s="1" t="s">
        <v>302</v>
      </c>
      <c r="D4" s="1" t="s">
        <v>299</v>
      </c>
      <c r="E4" s="1" t="s">
        <v>300</v>
      </c>
      <c r="J4" t="s">
        <v>303</v>
      </c>
    </row>
    <row r="5" spans="2:10" hidden="1">
      <c r="B5" s="1">
        <v>3110100103</v>
      </c>
      <c r="C5" s="1" t="s">
        <v>304</v>
      </c>
      <c r="D5" s="1" t="s">
        <v>299</v>
      </c>
      <c r="E5" s="1" t="s">
        <v>305</v>
      </c>
      <c r="J5" t="s">
        <v>306</v>
      </c>
    </row>
    <row r="6" spans="2:10" hidden="1">
      <c r="B6" s="1">
        <v>3110100104</v>
      </c>
      <c r="C6" s="1" t="s">
        <v>307</v>
      </c>
      <c r="D6" s="1" t="s">
        <v>299</v>
      </c>
      <c r="E6" s="1" t="s">
        <v>300</v>
      </c>
      <c r="J6" t="s">
        <v>308</v>
      </c>
    </row>
    <row r="7" spans="2:10" hidden="1">
      <c r="B7" s="1">
        <v>3110100105</v>
      </c>
      <c r="C7" s="1" t="s">
        <v>309</v>
      </c>
      <c r="D7" s="1" t="s">
        <v>299</v>
      </c>
      <c r="E7" s="1" t="s">
        <v>300</v>
      </c>
      <c r="J7" t="s">
        <v>310</v>
      </c>
    </row>
    <row r="8" spans="2:10" hidden="1">
      <c r="B8" s="1">
        <v>3110200101</v>
      </c>
      <c r="C8" s="1" t="s">
        <v>311</v>
      </c>
      <c r="D8" s="1" t="s">
        <v>299</v>
      </c>
      <c r="E8" s="1" t="s">
        <v>312</v>
      </c>
      <c r="J8" t="s">
        <v>313</v>
      </c>
    </row>
    <row r="9" spans="2:10" hidden="1">
      <c r="B9" s="1">
        <v>3110200102</v>
      </c>
      <c r="C9" s="1" t="s">
        <v>314</v>
      </c>
      <c r="D9" s="1" t="s">
        <v>299</v>
      </c>
      <c r="E9" s="1" t="s">
        <v>315</v>
      </c>
      <c r="J9" t="s">
        <v>316</v>
      </c>
    </row>
    <row r="10" spans="2:10" hidden="1">
      <c r="B10" s="1">
        <v>3110200103</v>
      </c>
      <c r="C10" s="1" t="s">
        <v>317</v>
      </c>
      <c r="D10" s="1" t="s">
        <v>299</v>
      </c>
      <c r="E10" s="1" t="s">
        <v>312</v>
      </c>
      <c r="J10" t="s">
        <v>318</v>
      </c>
    </row>
    <row r="11" spans="2:10" hidden="1">
      <c r="B11" s="1">
        <v>3110200104</v>
      </c>
      <c r="C11" s="1" t="s">
        <v>319</v>
      </c>
      <c r="D11" s="1" t="s">
        <v>299</v>
      </c>
      <c r="E11" s="1" t="s">
        <v>312</v>
      </c>
    </row>
    <row r="12" spans="2:10" hidden="1">
      <c r="B12" s="1">
        <v>3110200105</v>
      </c>
      <c r="C12" s="1" t="s">
        <v>320</v>
      </c>
      <c r="D12" s="1" t="s">
        <v>299</v>
      </c>
      <c r="E12" s="1" t="s">
        <v>300</v>
      </c>
    </row>
    <row r="13" spans="2:10" hidden="1">
      <c r="B13" s="1">
        <v>3110300101</v>
      </c>
      <c r="C13" s="1" t="s">
        <v>321</v>
      </c>
      <c r="D13" s="1" t="s">
        <v>299</v>
      </c>
      <c r="E13" s="1" t="s">
        <v>315</v>
      </c>
    </row>
    <row r="14" spans="2:10" hidden="1">
      <c r="B14" s="1">
        <v>3110400101</v>
      </c>
      <c r="C14" s="1" t="s">
        <v>322</v>
      </c>
      <c r="D14" s="1" t="s">
        <v>299</v>
      </c>
      <c r="E14" s="1" t="s">
        <v>323</v>
      </c>
    </row>
    <row r="15" spans="2:10" hidden="1">
      <c r="B15" s="1">
        <v>3110400102</v>
      </c>
      <c r="C15" s="1" t="s">
        <v>324</v>
      </c>
      <c r="D15" s="1" t="s">
        <v>299</v>
      </c>
      <c r="E15" s="1" t="s">
        <v>325</v>
      </c>
    </row>
    <row r="16" spans="2:10" hidden="1">
      <c r="B16" s="1">
        <v>3120100101</v>
      </c>
      <c r="C16" s="1" t="s">
        <v>326</v>
      </c>
      <c r="D16" s="1" t="s">
        <v>299</v>
      </c>
      <c r="E16" s="1" t="s">
        <v>327</v>
      </c>
    </row>
    <row r="17" spans="2:5" hidden="1">
      <c r="B17" s="1">
        <v>3120100102</v>
      </c>
      <c r="C17" s="1" t="s">
        <v>328</v>
      </c>
      <c r="D17" s="1" t="s">
        <v>299</v>
      </c>
      <c r="E17" s="1" t="s">
        <v>327</v>
      </c>
    </row>
    <row r="18" spans="2:5" hidden="1">
      <c r="B18" s="1">
        <v>3120100103</v>
      </c>
      <c r="C18" s="1" t="s">
        <v>329</v>
      </c>
      <c r="D18" s="1" t="s">
        <v>299</v>
      </c>
      <c r="E18" s="1" t="s">
        <v>327</v>
      </c>
    </row>
    <row r="19" spans="2:5" hidden="1">
      <c r="B19" s="1">
        <v>3120100201</v>
      </c>
      <c r="C19" s="1" t="s">
        <v>330</v>
      </c>
      <c r="D19" s="1" t="s">
        <v>299</v>
      </c>
      <c r="E19" s="1" t="s">
        <v>327</v>
      </c>
    </row>
    <row r="20" spans="2:5" hidden="1">
      <c r="B20" s="1">
        <v>3120100202</v>
      </c>
      <c r="C20" s="1" t="s">
        <v>331</v>
      </c>
      <c r="D20" s="1" t="s">
        <v>299</v>
      </c>
      <c r="E20" s="1" t="s">
        <v>327</v>
      </c>
    </row>
    <row r="21" spans="2:5" hidden="1">
      <c r="B21" s="1">
        <v>3120100203</v>
      </c>
      <c r="C21" s="1" t="s">
        <v>332</v>
      </c>
      <c r="D21" s="1" t="s">
        <v>299</v>
      </c>
      <c r="E21" s="1" t="s">
        <v>327</v>
      </c>
    </row>
    <row r="22" spans="2:5" hidden="1">
      <c r="B22" s="1">
        <v>3120100204</v>
      </c>
      <c r="C22" s="1" t="s">
        <v>333</v>
      </c>
      <c r="D22" s="1" t="s">
        <v>299</v>
      </c>
      <c r="E22" s="1" t="s">
        <v>327</v>
      </c>
    </row>
    <row r="23" spans="2:5" hidden="1">
      <c r="B23" s="1">
        <v>3120100205</v>
      </c>
      <c r="C23" s="1" t="s">
        <v>334</v>
      </c>
      <c r="D23" s="1" t="s">
        <v>299</v>
      </c>
      <c r="E23" s="1" t="s">
        <v>327</v>
      </c>
    </row>
    <row r="24" spans="2:5" hidden="1">
      <c r="B24" s="1">
        <v>3120100206</v>
      </c>
      <c r="C24" s="1" t="s">
        <v>335</v>
      </c>
      <c r="D24" s="1" t="s">
        <v>299</v>
      </c>
      <c r="E24" s="1" t="s">
        <v>327</v>
      </c>
    </row>
    <row r="25" spans="2:5" hidden="1">
      <c r="B25" s="1">
        <v>3120100207</v>
      </c>
      <c r="C25" s="1" t="s">
        <v>336</v>
      </c>
      <c r="D25" s="1" t="s">
        <v>299</v>
      </c>
      <c r="E25" s="1" t="s">
        <v>327</v>
      </c>
    </row>
    <row r="26" spans="2:5">
      <c r="B26" s="1">
        <v>3130100101</v>
      </c>
      <c r="C26" s="1" t="s">
        <v>337</v>
      </c>
      <c r="D26" s="1" t="s">
        <v>299</v>
      </c>
      <c r="E26" s="1" t="s">
        <v>308</v>
      </c>
    </row>
    <row r="27" spans="2:5">
      <c r="B27" s="1">
        <v>3130100102</v>
      </c>
      <c r="C27" s="1" t="s">
        <v>338</v>
      </c>
      <c r="D27" s="1" t="s">
        <v>299</v>
      </c>
      <c r="E27" s="1" t="s">
        <v>308</v>
      </c>
    </row>
    <row r="28" spans="2:5">
      <c r="B28" s="1">
        <v>3130100103</v>
      </c>
      <c r="C28" s="1" t="s">
        <v>339</v>
      </c>
      <c r="D28" s="1" t="s">
        <v>299</v>
      </c>
      <c r="E28" s="1" t="s">
        <v>308</v>
      </c>
    </row>
    <row r="29" spans="2:5">
      <c r="B29" s="1">
        <v>3130100104</v>
      </c>
      <c r="C29" s="1" t="s">
        <v>340</v>
      </c>
      <c r="D29" s="1" t="s">
        <v>299</v>
      </c>
      <c r="E29" s="1" t="s">
        <v>308</v>
      </c>
    </row>
    <row r="30" spans="2:5">
      <c r="B30" s="1">
        <v>3130100105</v>
      </c>
      <c r="C30" s="1" t="s">
        <v>341</v>
      </c>
      <c r="D30" s="1" t="s">
        <v>299</v>
      </c>
      <c r="E30" s="1" t="s">
        <v>308</v>
      </c>
    </row>
    <row r="31" spans="2:5">
      <c r="B31" s="1">
        <v>3130100106</v>
      </c>
      <c r="C31" s="1" t="s">
        <v>342</v>
      </c>
      <c r="D31" s="1" t="s">
        <v>299</v>
      </c>
      <c r="E31" s="1" t="s">
        <v>308</v>
      </c>
    </row>
    <row r="32" spans="2:5">
      <c r="B32" s="1">
        <v>3130100107</v>
      </c>
      <c r="C32" s="1" t="s">
        <v>343</v>
      </c>
      <c r="D32" s="1" t="s">
        <v>299</v>
      </c>
      <c r="E32" s="1" t="s">
        <v>308</v>
      </c>
    </row>
    <row r="33" spans="2:5">
      <c r="B33" s="1">
        <v>3130100108</v>
      </c>
      <c r="C33" s="1" t="s">
        <v>344</v>
      </c>
      <c r="D33" s="1" t="s">
        <v>299</v>
      </c>
      <c r="E33" s="1" t="s">
        <v>308</v>
      </c>
    </row>
    <row r="34" spans="2:5" hidden="1">
      <c r="B34" s="1">
        <v>3140100101</v>
      </c>
      <c r="C34" s="1" t="s">
        <v>345</v>
      </c>
      <c r="D34" s="1" t="s">
        <v>299</v>
      </c>
      <c r="E34" s="1" t="s">
        <v>346</v>
      </c>
    </row>
    <row r="35" spans="2:5" hidden="1">
      <c r="B35" s="1">
        <v>3140100102</v>
      </c>
      <c r="C35" s="1" t="s">
        <v>347</v>
      </c>
      <c r="D35" s="1" t="s">
        <v>299</v>
      </c>
      <c r="E35" s="1" t="s">
        <v>346</v>
      </c>
    </row>
    <row r="36" spans="2:5" hidden="1">
      <c r="B36" s="1">
        <v>3140100103</v>
      </c>
      <c r="C36" s="1" t="s">
        <v>348</v>
      </c>
      <c r="D36" s="1" t="s">
        <v>299</v>
      </c>
      <c r="E36" s="1" t="s">
        <v>346</v>
      </c>
    </row>
    <row r="37" spans="2:5" hidden="1">
      <c r="B37" s="1">
        <v>3140100104</v>
      </c>
      <c r="C37" s="1" t="s">
        <v>349</v>
      </c>
      <c r="D37" s="1" t="s">
        <v>299</v>
      </c>
      <c r="E37" s="1" t="s">
        <v>350</v>
      </c>
    </row>
    <row r="38" spans="2:5" hidden="1">
      <c r="B38" s="1">
        <v>3140100105</v>
      </c>
      <c r="C38" s="1" t="s">
        <v>351</v>
      </c>
      <c r="D38" s="1" t="s">
        <v>299</v>
      </c>
      <c r="E38" s="1" t="s">
        <v>346</v>
      </c>
    </row>
    <row r="39" spans="2:5" hidden="1">
      <c r="B39" s="1">
        <v>3140100106</v>
      </c>
      <c r="C39" s="1" t="s">
        <v>352</v>
      </c>
      <c r="D39" s="1" t="s">
        <v>299</v>
      </c>
      <c r="E39" s="1" t="s">
        <v>346</v>
      </c>
    </row>
    <row r="40" spans="2:5" hidden="1">
      <c r="B40" s="1">
        <v>3140100107</v>
      </c>
      <c r="C40" s="1" t="s">
        <v>353</v>
      </c>
      <c r="D40" s="1" t="s">
        <v>299</v>
      </c>
      <c r="E40" s="1" t="s">
        <v>346</v>
      </c>
    </row>
    <row r="41" spans="2:5" hidden="1">
      <c r="B41" s="1">
        <v>3140100108</v>
      </c>
      <c r="C41" s="1" t="s">
        <v>354</v>
      </c>
      <c r="D41" s="1" t="s">
        <v>299</v>
      </c>
      <c r="E41" s="1" t="s">
        <v>312</v>
      </c>
    </row>
    <row r="42" spans="2:5" hidden="1">
      <c r="B42" s="1">
        <v>3140100201</v>
      </c>
      <c r="C42" s="1" t="s">
        <v>355</v>
      </c>
      <c r="D42" s="1" t="s">
        <v>299</v>
      </c>
      <c r="E42" s="1" t="s">
        <v>346</v>
      </c>
    </row>
    <row r="43" spans="2:5" hidden="1">
      <c r="B43" s="1">
        <v>3140300101</v>
      </c>
      <c r="C43" s="1" t="s">
        <v>356</v>
      </c>
      <c r="D43" s="1" t="s">
        <v>299</v>
      </c>
      <c r="E43" s="1" t="s">
        <v>357</v>
      </c>
    </row>
    <row r="44" spans="2:5" hidden="1">
      <c r="B44" s="1">
        <v>3140300102</v>
      </c>
      <c r="C44" s="1" t="s">
        <v>358</v>
      </c>
      <c r="D44" s="1" t="s">
        <v>299</v>
      </c>
      <c r="E44" s="1" t="s">
        <v>357</v>
      </c>
    </row>
    <row r="45" spans="2:5" hidden="1">
      <c r="B45" s="1">
        <v>3140300103</v>
      </c>
      <c r="C45" s="1" t="s">
        <v>359</v>
      </c>
      <c r="D45" s="1" t="s">
        <v>299</v>
      </c>
      <c r="E45" s="1" t="s">
        <v>346</v>
      </c>
    </row>
    <row r="46" spans="2:5" hidden="1">
      <c r="B46" s="1">
        <v>4110200101</v>
      </c>
      <c r="C46" s="1" t="s">
        <v>360</v>
      </c>
      <c r="D46" s="1" t="s">
        <v>299</v>
      </c>
      <c r="E46" s="1" t="s">
        <v>361</v>
      </c>
    </row>
    <row r="47" spans="2:5" hidden="1">
      <c r="B47" s="1">
        <v>4110200102</v>
      </c>
      <c r="C47" s="1" t="s">
        <v>362</v>
      </c>
      <c r="D47" s="1" t="s">
        <v>299</v>
      </c>
      <c r="E47" s="1" t="s">
        <v>361</v>
      </c>
    </row>
    <row r="48" spans="2:5" hidden="1">
      <c r="B48" s="1">
        <v>4110200103</v>
      </c>
      <c r="C48" s="1" t="s">
        <v>363</v>
      </c>
      <c r="D48" s="1" t="s">
        <v>299</v>
      </c>
      <c r="E48" s="1" t="s">
        <v>364</v>
      </c>
    </row>
    <row r="49" spans="2:5" hidden="1">
      <c r="B49" s="1">
        <v>4110200104</v>
      </c>
      <c r="C49" s="1" t="s">
        <v>365</v>
      </c>
      <c r="D49" s="1" t="s">
        <v>299</v>
      </c>
      <c r="E49" s="1" t="s">
        <v>361</v>
      </c>
    </row>
    <row r="50" spans="2:5" hidden="1">
      <c r="B50" s="1">
        <v>4110200105</v>
      </c>
      <c r="C50" s="1" t="s">
        <v>366</v>
      </c>
      <c r="D50" s="1" t="s">
        <v>299</v>
      </c>
      <c r="E50" s="1" t="s">
        <v>361</v>
      </c>
    </row>
    <row r="51" spans="2:5" hidden="1">
      <c r="B51" s="1">
        <v>4110200106</v>
      </c>
      <c r="C51" s="1" t="s">
        <v>367</v>
      </c>
      <c r="D51" s="1" t="s">
        <v>299</v>
      </c>
      <c r="E51" s="1" t="s">
        <v>361</v>
      </c>
    </row>
    <row r="52" spans="2:5" hidden="1">
      <c r="B52" s="1">
        <v>4110200107</v>
      </c>
      <c r="C52" s="1" t="s">
        <v>368</v>
      </c>
      <c r="D52" s="1" t="s">
        <v>299</v>
      </c>
      <c r="E52" s="1" t="s">
        <v>361</v>
      </c>
    </row>
    <row r="53" spans="2:5" hidden="1">
      <c r="B53" s="1">
        <v>4110200201</v>
      </c>
      <c r="C53" s="1" t="s">
        <v>369</v>
      </c>
      <c r="D53" s="1" t="s">
        <v>299</v>
      </c>
      <c r="E53" s="1" t="s">
        <v>327</v>
      </c>
    </row>
    <row r="54" spans="2:5" hidden="1">
      <c r="B54" s="1">
        <v>4110200202</v>
      </c>
      <c r="C54" s="1" t="s">
        <v>370</v>
      </c>
      <c r="D54" s="1" t="s">
        <v>299</v>
      </c>
      <c r="E54" s="1" t="s">
        <v>327</v>
      </c>
    </row>
    <row r="55" spans="2:5" hidden="1">
      <c r="B55" s="1">
        <v>4110300101</v>
      </c>
      <c r="C55" s="1" t="s">
        <v>371</v>
      </c>
      <c r="D55" s="1" t="s">
        <v>299</v>
      </c>
      <c r="E55" s="1" t="s">
        <v>372</v>
      </c>
    </row>
    <row r="56" spans="2:5" hidden="1">
      <c r="B56" s="1">
        <v>4110300102</v>
      </c>
      <c r="C56" s="1" t="s">
        <v>373</v>
      </c>
      <c r="D56" s="1" t="s">
        <v>299</v>
      </c>
      <c r="E56" s="1" t="s">
        <v>361</v>
      </c>
    </row>
    <row r="57" spans="2:5" hidden="1">
      <c r="B57" s="1">
        <v>4110300103</v>
      </c>
      <c r="C57" s="1" t="s">
        <v>374</v>
      </c>
      <c r="D57" s="1" t="s">
        <v>299</v>
      </c>
      <c r="E57" s="1" t="s">
        <v>372</v>
      </c>
    </row>
    <row r="58" spans="2:5" hidden="1">
      <c r="B58" s="1">
        <v>4110300104</v>
      </c>
      <c r="C58" s="1" t="s">
        <v>375</v>
      </c>
      <c r="D58" s="1" t="s">
        <v>299</v>
      </c>
      <c r="E58" s="1" t="s">
        <v>361</v>
      </c>
    </row>
    <row r="59" spans="2:5" hidden="1">
      <c r="B59" s="1">
        <v>4110400101</v>
      </c>
      <c r="C59" s="1" t="s">
        <v>376</v>
      </c>
      <c r="D59" s="1" t="s">
        <v>299</v>
      </c>
      <c r="E59" s="1" t="s">
        <v>377</v>
      </c>
    </row>
    <row r="60" spans="2:5" hidden="1">
      <c r="B60" s="1">
        <v>4110400102</v>
      </c>
      <c r="C60" s="1" t="s">
        <v>378</v>
      </c>
      <c r="D60" s="1" t="s">
        <v>299</v>
      </c>
      <c r="E60" s="1" t="s">
        <v>379</v>
      </c>
    </row>
    <row r="61" spans="2:5" hidden="1">
      <c r="B61" s="1">
        <v>5110100101</v>
      </c>
      <c r="C61" s="1" t="s">
        <v>380</v>
      </c>
      <c r="D61" s="1" t="s">
        <v>299</v>
      </c>
      <c r="E61" s="1" t="s">
        <v>313</v>
      </c>
    </row>
    <row r="62" spans="2:5" hidden="1">
      <c r="B62" s="1">
        <v>5110100102</v>
      </c>
      <c r="C62" s="1" t="s">
        <v>381</v>
      </c>
      <c r="D62" s="1" t="s">
        <v>299</v>
      </c>
      <c r="E62" s="1" t="s">
        <v>313</v>
      </c>
    </row>
    <row r="63" spans="2:5" hidden="1">
      <c r="B63" s="1">
        <v>5110100103</v>
      </c>
      <c r="C63" s="1" t="s">
        <v>382</v>
      </c>
      <c r="D63" s="1" t="s">
        <v>299</v>
      </c>
      <c r="E63" s="1" t="s">
        <v>313</v>
      </c>
    </row>
    <row r="64" spans="2:5" hidden="1">
      <c r="B64" s="1">
        <v>5110100104</v>
      </c>
      <c r="C64" s="1" t="s">
        <v>383</v>
      </c>
      <c r="D64" s="1" t="s">
        <v>299</v>
      </c>
      <c r="E64" s="1" t="s">
        <v>313</v>
      </c>
    </row>
    <row r="65" spans="2:5" hidden="1">
      <c r="B65" s="1">
        <v>5110100105</v>
      </c>
      <c r="C65" s="1" t="s">
        <v>384</v>
      </c>
      <c r="D65" s="1" t="s">
        <v>299</v>
      </c>
      <c r="E65" s="1" t="s">
        <v>313</v>
      </c>
    </row>
    <row r="66" spans="2:5" hidden="1">
      <c r="B66" s="1">
        <v>5110100106</v>
      </c>
      <c r="C66" s="1" t="s">
        <v>385</v>
      </c>
      <c r="D66" s="1" t="s">
        <v>299</v>
      </c>
      <c r="E66" s="1" t="s">
        <v>313</v>
      </c>
    </row>
    <row r="67" spans="2:5" hidden="1">
      <c r="B67" s="1">
        <v>5110100107</v>
      </c>
      <c r="C67" s="1" t="s">
        <v>386</v>
      </c>
      <c r="D67" s="1" t="s">
        <v>299</v>
      </c>
      <c r="E67" s="1" t="s">
        <v>313</v>
      </c>
    </row>
    <row r="68" spans="2:5" hidden="1">
      <c r="B68" s="1">
        <v>5110100108</v>
      </c>
      <c r="C68" s="1" t="s">
        <v>387</v>
      </c>
      <c r="D68" s="1" t="s">
        <v>299</v>
      </c>
      <c r="E68" s="1" t="s">
        <v>313</v>
      </c>
    </row>
    <row r="69" spans="2:5" hidden="1">
      <c r="B69" s="1">
        <v>5110100109</v>
      </c>
      <c r="C69" s="1" t="s">
        <v>388</v>
      </c>
      <c r="D69" s="1" t="s">
        <v>299</v>
      </c>
      <c r="E69" s="1" t="s">
        <v>313</v>
      </c>
    </row>
    <row r="70" spans="2:5" hidden="1">
      <c r="B70" s="1">
        <v>5110100110</v>
      </c>
      <c r="C70" s="1" t="s">
        <v>389</v>
      </c>
      <c r="D70" s="1" t="s">
        <v>299</v>
      </c>
      <c r="E70" s="1" t="s">
        <v>313</v>
      </c>
    </row>
    <row r="71" spans="2:5" hidden="1">
      <c r="B71" s="1">
        <v>5110100111</v>
      </c>
      <c r="C71" s="1" t="s">
        <v>390</v>
      </c>
      <c r="D71" s="1" t="s">
        <v>299</v>
      </c>
      <c r="E71" s="1" t="s">
        <v>313</v>
      </c>
    </row>
    <row r="72" spans="2:5" hidden="1">
      <c r="B72" s="1">
        <v>5110100112</v>
      </c>
      <c r="C72" s="1" t="s">
        <v>391</v>
      </c>
      <c r="D72" s="1" t="s">
        <v>299</v>
      </c>
      <c r="E72" s="1" t="s">
        <v>313</v>
      </c>
    </row>
    <row r="73" spans="2:5" hidden="1">
      <c r="B73" s="1">
        <v>5110100113</v>
      </c>
      <c r="C73" s="1" t="s">
        <v>392</v>
      </c>
      <c r="D73" s="1" t="s">
        <v>299</v>
      </c>
      <c r="E73" s="1" t="s">
        <v>313</v>
      </c>
    </row>
    <row r="74" spans="2:5" hidden="1">
      <c r="B74" s="1">
        <v>5110100114</v>
      </c>
      <c r="C74" s="1" t="s">
        <v>393</v>
      </c>
      <c r="D74" s="1" t="s">
        <v>299</v>
      </c>
      <c r="E74" s="1" t="s">
        <v>313</v>
      </c>
    </row>
    <row r="75" spans="2:5" hidden="1">
      <c r="B75" s="1">
        <v>5110100115</v>
      </c>
      <c r="C75" s="1" t="s">
        <v>394</v>
      </c>
      <c r="D75" s="1" t="s">
        <v>299</v>
      </c>
      <c r="E75" s="1" t="s">
        <v>313</v>
      </c>
    </row>
    <row r="76" spans="2:5" hidden="1">
      <c r="B76" s="1">
        <v>5110100116</v>
      </c>
      <c r="C76" s="1" t="s">
        <v>395</v>
      </c>
      <c r="D76" s="1" t="s">
        <v>299</v>
      </c>
      <c r="E76" s="1" t="s">
        <v>313</v>
      </c>
    </row>
    <row r="77" spans="2:5" hidden="1">
      <c r="B77" s="1">
        <v>5110100117</v>
      </c>
      <c r="C77" s="1" t="s">
        <v>396</v>
      </c>
      <c r="D77" s="1" t="s">
        <v>299</v>
      </c>
      <c r="E77" s="1" t="s">
        <v>313</v>
      </c>
    </row>
    <row r="78" spans="2:5" hidden="1">
      <c r="B78" s="1">
        <v>5110100118</v>
      </c>
      <c r="C78" s="1" t="s">
        <v>397</v>
      </c>
      <c r="D78" s="1" t="s">
        <v>299</v>
      </c>
      <c r="E78" s="1" t="s">
        <v>313</v>
      </c>
    </row>
    <row r="79" spans="2:5" hidden="1">
      <c r="B79" s="1">
        <v>5110100119</v>
      </c>
      <c r="C79" s="1" t="s">
        <v>398</v>
      </c>
      <c r="D79" s="1" t="s">
        <v>299</v>
      </c>
      <c r="E79" s="1" t="s">
        <v>313</v>
      </c>
    </row>
    <row r="80" spans="2:5" hidden="1">
      <c r="B80" s="1">
        <v>5110100120</v>
      </c>
      <c r="C80" s="1" t="s">
        <v>399</v>
      </c>
      <c r="D80" s="1" t="s">
        <v>299</v>
      </c>
      <c r="E80" s="1" t="s">
        <v>313</v>
      </c>
    </row>
    <row r="81" spans="2:5" hidden="1">
      <c r="B81" s="1">
        <v>5110100121</v>
      </c>
      <c r="C81" s="1" t="s">
        <v>400</v>
      </c>
      <c r="D81" s="1" t="s">
        <v>299</v>
      </c>
      <c r="E81" s="1" t="s">
        <v>313</v>
      </c>
    </row>
    <row r="82" spans="2:5" hidden="1">
      <c r="B82" s="1">
        <v>5110100122</v>
      </c>
      <c r="C82" s="1" t="s">
        <v>401</v>
      </c>
      <c r="D82" s="1" t="s">
        <v>299</v>
      </c>
      <c r="E82" s="1" t="s">
        <v>313</v>
      </c>
    </row>
    <row r="83" spans="2:5" hidden="1">
      <c r="B83" s="1">
        <v>5110100123</v>
      </c>
      <c r="C83" s="1" t="s">
        <v>402</v>
      </c>
      <c r="D83" s="1" t="s">
        <v>299</v>
      </c>
      <c r="E83" s="1" t="s">
        <v>313</v>
      </c>
    </row>
    <row r="84" spans="2:5" hidden="1">
      <c r="B84" s="1">
        <v>5110100124</v>
      </c>
      <c r="C84" s="1" t="s">
        <v>403</v>
      </c>
      <c r="D84" s="1" t="s">
        <v>299</v>
      </c>
      <c r="E84" s="1" t="s">
        <v>313</v>
      </c>
    </row>
    <row r="85" spans="2:5" hidden="1">
      <c r="B85" s="1">
        <v>5110100125</v>
      </c>
      <c r="C85" s="1" t="s">
        <v>404</v>
      </c>
      <c r="D85" s="1" t="s">
        <v>299</v>
      </c>
      <c r="E85" s="1" t="s">
        <v>313</v>
      </c>
    </row>
    <row r="86" spans="2:5" hidden="1">
      <c r="B86" s="1">
        <v>5110100126</v>
      </c>
      <c r="C86" s="1" t="s">
        <v>405</v>
      </c>
      <c r="D86" s="1" t="s">
        <v>299</v>
      </c>
      <c r="E86" s="1" t="s">
        <v>313</v>
      </c>
    </row>
    <row r="87" spans="2:5" hidden="1">
      <c r="B87" s="1">
        <v>5110100127</v>
      </c>
      <c r="C87" s="1" t="s">
        <v>406</v>
      </c>
      <c r="D87" s="1" t="s">
        <v>299</v>
      </c>
      <c r="E87" s="1" t="s">
        <v>313</v>
      </c>
    </row>
    <row r="88" spans="2:5" hidden="1">
      <c r="B88" s="1">
        <v>5110100128</v>
      </c>
      <c r="C88" s="1" t="s">
        <v>407</v>
      </c>
      <c r="D88" s="1" t="s">
        <v>299</v>
      </c>
      <c r="E88" s="1" t="s">
        <v>313</v>
      </c>
    </row>
    <row r="89" spans="2:5" hidden="1">
      <c r="B89" s="1">
        <v>5110100129</v>
      </c>
      <c r="C89" s="1" t="s">
        <v>408</v>
      </c>
      <c r="D89" s="1" t="s">
        <v>299</v>
      </c>
      <c r="E89" s="1" t="s">
        <v>313</v>
      </c>
    </row>
    <row r="90" spans="2:5" hidden="1">
      <c r="B90" s="1">
        <v>5110100130</v>
      </c>
      <c r="C90" s="1" t="s">
        <v>409</v>
      </c>
      <c r="D90" s="1" t="s">
        <v>299</v>
      </c>
      <c r="E90" s="1" t="s">
        <v>313</v>
      </c>
    </row>
    <row r="91" spans="2:5" hidden="1">
      <c r="B91" s="1">
        <v>5110100131</v>
      </c>
      <c r="C91" s="1" t="s">
        <v>410</v>
      </c>
      <c r="D91" s="1" t="s">
        <v>299</v>
      </c>
      <c r="E91" s="1" t="s">
        <v>313</v>
      </c>
    </row>
    <row r="92" spans="2:5" hidden="1">
      <c r="B92" s="1">
        <v>5110100132</v>
      </c>
      <c r="C92" s="1" t="s">
        <v>411</v>
      </c>
      <c r="D92" s="1" t="s">
        <v>299</v>
      </c>
      <c r="E92" s="1" t="s">
        <v>313</v>
      </c>
    </row>
    <row r="93" spans="2:5" hidden="1">
      <c r="B93" s="1">
        <v>5110100133</v>
      </c>
      <c r="C93" s="1" t="s">
        <v>412</v>
      </c>
      <c r="D93" s="1" t="s">
        <v>299</v>
      </c>
      <c r="E93" s="1" t="s">
        <v>313</v>
      </c>
    </row>
    <row r="94" spans="2:5" hidden="1">
      <c r="B94" s="1">
        <v>5110100134</v>
      </c>
      <c r="C94" s="1" t="s">
        <v>413</v>
      </c>
      <c r="D94" s="1" t="s">
        <v>299</v>
      </c>
      <c r="E94" s="1" t="s">
        <v>313</v>
      </c>
    </row>
    <row r="95" spans="2:5" hidden="1">
      <c r="B95" s="1">
        <v>5110100135</v>
      </c>
      <c r="C95" s="1" t="s">
        <v>414</v>
      </c>
      <c r="D95" s="1" t="s">
        <v>299</v>
      </c>
      <c r="E95" s="1" t="s">
        <v>313</v>
      </c>
    </row>
    <row r="96" spans="2:5" hidden="1">
      <c r="B96" s="1">
        <v>5110100136</v>
      </c>
      <c r="C96" s="1" t="s">
        <v>415</v>
      </c>
      <c r="D96" s="1" t="s">
        <v>299</v>
      </c>
      <c r="E96" s="1" t="s">
        <v>313</v>
      </c>
    </row>
    <row r="97" spans="2:5" hidden="1">
      <c r="B97" s="1">
        <v>5110100137</v>
      </c>
      <c r="C97" s="1" t="s">
        <v>416</v>
      </c>
      <c r="D97" s="1" t="s">
        <v>299</v>
      </c>
      <c r="E97" s="1" t="s">
        <v>313</v>
      </c>
    </row>
    <row r="98" spans="2:5" hidden="1">
      <c r="B98" s="1">
        <v>5110100138</v>
      </c>
      <c r="C98" s="1" t="s">
        <v>417</v>
      </c>
      <c r="D98" s="1" t="s">
        <v>299</v>
      </c>
      <c r="E98" s="1" t="s">
        <v>313</v>
      </c>
    </row>
    <row r="99" spans="2:5" hidden="1">
      <c r="B99" s="1">
        <v>5110100139</v>
      </c>
      <c r="C99" s="1" t="s">
        <v>418</v>
      </c>
      <c r="D99" s="1" t="s">
        <v>299</v>
      </c>
      <c r="E99" s="1" t="s">
        <v>313</v>
      </c>
    </row>
    <row r="100" spans="2:5" hidden="1">
      <c r="B100" s="1">
        <v>5110100140</v>
      </c>
      <c r="C100" s="1" t="s">
        <v>419</v>
      </c>
      <c r="D100" s="1" t="s">
        <v>299</v>
      </c>
      <c r="E100" s="1" t="s">
        <v>313</v>
      </c>
    </row>
    <row r="101" spans="2:5" hidden="1">
      <c r="B101" s="1">
        <v>5110100201</v>
      </c>
      <c r="C101" s="1" t="s">
        <v>420</v>
      </c>
      <c r="D101" s="1" t="s">
        <v>299</v>
      </c>
      <c r="E101" s="1" t="s">
        <v>310</v>
      </c>
    </row>
    <row r="102" spans="2:5" hidden="1">
      <c r="B102" s="1">
        <v>5110100202</v>
      </c>
      <c r="C102" s="1" t="s">
        <v>421</v>
      </c>
      <c r="D102" s="1" t="s">
        <v>299</v>
      </c>
      <c r="E102" s="1" t="s">
        <v>310</v>
      </c>
    </row>
    <row r="103" spans="2:5" hidden="1">
      <c r="B103" s="1">
        <v>5110100203</v>
      </c>
      <c r="C103" s="1" t="s">
        <v>422</v>
      </c>
      <c r="D103" s="1" t="s">
        <v>299</v>
      </c>
      <c r="E103" s="1" t="s">
        <v>310</v>
      </c>
    </row>
    <row r="104" spans="2:5" hidden="1">
      <c r="B104" s="1">
        <v>5110100204</v>
      </c>
      <c r="C104" s="1" t="s">
        <v>423</v>
      </c>
      <c r="D104" s="1" t="s">
        <v>299</v>
      </c>
      <c r="E104" s="1" t="s">
        <v>310</v>
      </c>
    </row>
    <row r="105" spans="2:5" hidden="1">
      <c r="B105" s="1">
        <v>5110100301</v>
      </c>
      <c r="C105" s="1" t="s">
        <v>424</v>
      </c>
      <c r="D105" s="1" t="s">
        <v>299</v>
      </c>
      <c r="E105" s="1" t="s">
        <v>310</v>
      </c>
    </row>
    <row r="106" spans="2:5" hidden="1">
      <c r="B106" s="1">
        <v>5110100302</v>
      </c>
      <c r="C106" s="1" t="s">
        <v>425</v>
      </c>
      <c r="D106" s="1" t="s">
        <v>299</v>
      </c>
      <c r="E106" s="1" t="s">
        <v>310</v>
      </c>
    </row>
    <row r="107" spans="2:5" hidden="1">
      <c r="B107" s="1">
        <v>5110100303</v>
      </c>
      <c r="C107" s="1" t="s">
        <v>426</v>
      </c>
      <c r="D107" s="1" t="s">
        <v>299</v>
      </c>
      <c r="E107" s="1" t="s">
        <v>310</v>
      </c>
    </row>
    <row r="108" spans="2:5" hidden="1">
      <c r="B108" s="1">
        <v>5110100304</v>
      </c>
      <c r="C108" s="1" t="s">
        <v>427</v>
      </c>
      <c r="D108" s="1" t="s">
        <v>299</v>
      </c>
      <c r="E108" s="1" t="s">
        <v>310</v>
      </c>
    </row>
    <row r="109" spans="2:5" hidden="1">
      <c r="B109" s="1">
        <v>5110100305</v>
      </c>
      <c r="C109" s="1" t="s">
        <v>428</v>
      </c>
      <c r="D109" s="1" t="s">
        <v>299</v>
      </c>
      <c r="E109" s="1" t="s">
        <v>310</v>
      </c>
    </row>
    <row r="110" spans="2:5" hidden="1">
      <c r="B110" s="1">
        <v>5110100306</v>
      </c>
      <c r="C110" s="1" t="s">
        <v>429</v>
      </c>
      <c r="D110" s="1" t="s">
        <v>299</v>
      </c>
      <c r="E110" s="1" t="s">
        <v>310</v>
      </c>
    </row>
    <row r="111" spans="2:5" hidden="1">
      <c r="B111" s="1">
        <v>5110100307</v>
      </c>
      <c r="C111" s="1" t="s">
        <v>430</v>
      </c>
      <c r="D111" s="1" t="s">
        <v>299</v>
      </c>
      <c r="E111" s="1" t="s">
        <v>310</v>
      </c>
    </row>
    <row r="112" spans="2:5" hidden="1">
      <c r="B112" s="1">
        <v>5110100308</v>
      </c>
      <c r="C112" s="1" t="s">
        <v>431</v>
      </c>
      <c r="D112" s="1" t="s">
        <v>299</v>
      </c>
      <c r="E112" s="1" t="s">
        <v>310</v>
      </c>
    </row>
    <row r="113" spans="2:5" hidden="1">
      <c r="B113" s="1">
        <v>5110100309</v>
      </c>
      <c r="C113" s="1" t="s">
        <v>432</v>
      </c>
      <c r="D113" s="1" t="s">
        <v>299</v>
      </c>
      <c r="E113" s="1" t="s">
        <v>310</v>
      </c>
    </row>
    <row r="114" spans="2:5" hidden="1">
      <c r="B114" s="1">
        <v>5110100401</v>
      </c>
      <c r="C114" s="1" t="s">
        <v>433</v>
      </c>
      <c r="D114" s="1" t="s">
        <v>299</v>
      </c>
      <c r="E114" s="1" t="s">
        <v>313</v>
      </c>
    </row>
    <row r="115" spans="2:5" hidden="1">
      <c r="B115" s="1">
        <v>5110100402</v>
      </c>
      <c r="C115" s="1" t="s">
        <v>434</v>
      </c>
      <c r="D115" s="1" t="s">
        <v>299</v>
      </c>
      <c r="E115" s="1" t="s">
        <v>310</v>
      </c>
    </row>
    <row r="116" spans="2:5" hidden="1">
      <c r="B116" s="1">
        <v>5110100403</v>
      </c>
      <c r="C116" s="1" t="s">
        <v>435</v>
      </c>
      <c r="D116" s="1" t="s">
        <v>299</v>
      </c>
      <c r="E116" s="1" t="s">
        <v>310</v>
      </c>
    </row>
    <row r="117" spans="2:5" hidden="1">
      <c r="B117" s="1">
        <v>5110100404</v>
      </c>
      <c r="C117" s="1" t="s">
        <v>436</v>
      </c>
      <c r="D117" s="1" t="s">
        <v>299</v>
      </c>
      <c r="E117" s="1" t="s">
        <v>310</v>
      </c>
    </row>
    <row r="118" spans="2:5" hidden="1">
      <c r="B118" s="1">
        <v>5110100405</v>
      </c>
      <c r="C118" s="1" t="s">
        <v>437</v>
      </c>
      <c r="D118" s="1" t="s">
        <v>299</v>
      </c>
      <c r="E118" s="1" t="s">
        <v>310</v>
      </c>
    </row>
    <row r="119" spans="2:5" hidden="1">
      <c r="B119" s="1">
        <v>5110100406</v>
      </c>
      <c r="C119" s="1" t="s">
        <v>438</v>
      </c>
      <c r="D119" s="1" t="s">
        <v>299</v>
      </c>
      <c r="E119" s="1" t="s">
        <v>310</v>
      </c>
    </row>
    <row r="120" spans="2:5" hidden="1">
      <c r="B120" s="1">
        <v>5110100407</v>
      </c>
      <c r="C120" s="1" t="s">
        <v>439</v>
      </c>
      <c r="D120" s="1" t="s">
        <v>299</v>
      </c>
      <c r="E120" s="1" t="s">
        <v>310</v>
      </c>
    </row>
    <row r="121" spans="2:5" hidden="1">
      <c r="B121" s="1">
        <v>5110100408</v>
      </c>
      <c r="C121" s="1" t="s">
        <v>440</v>
      </c>
      <c r="D121" s="1" t="s">
        <v>299</v>
      </c>
      <c r="E121" s="1" t="s">
        <v>310</v>
      </c>
    </row>
    <row r="122" spans="2:5" hidden="1">
      <c r="B122" s="1">
        <v>5110100409</v>
      </c>
      <c r="C122" s="1" t="s">
        <v>441</v>
      </c>
      <c r="D122" s="1" t="s">
        <v>299</v>
      </c>
      <c r="E122" s="1" t="s">
        <v>310</v>
      </c>
    </row>
    <row r="123" spans="2:5" hidden="1">
      <c r="B123" s="1">
        <v>5110100501</v>
      </c>
      <c r="C123" s="1" t="s">
        <v>442</v>
      </c>
      <c r="D123" s="1" t="s">
        <v>299</v>
      </c>
      <c r="E123" s="1" t="s">
        <v>310</v>
      </c>
    </row>
    <row r="124" spans="2:5" hidden="1">
      <c r="B124" s="1">
        <v>5110100502</v>
      </c>
      <c r="C124" s="1" t="s">
        <v>443</v>
      </c>
      <c r="D124" s="1" t="s">
        <v>299</v>
      </c>
      <c r="E124" s="1" t="s">
        <v>310</v>
      </c>
    </row>
    <row r="125" spans="2:5" hidden="1">
      <c r="B125" s="1">
        <v>5110100503</v>
      </c>
      <c r="C125" s="1" t="s">
        <v>444</v>
      </c>
      <c r="D125" s="1" t="s">
        <v>299</v>
      </c>
      <c r="E125" s="1" t="s">
        <v>310</v>
      </c>
    </row>
    <row r="126" spans="2:5" hidden="1">
      <c r="B126" s="1">
        <v>5110100504</v>
      </c>
      <c r="C126" s="1" t="s">
        <v>445</v>
      </c>
      <c r="D126" s="1" t="s">
        <v>299</v>
      </c>
      <c r="E126" s="1" t="s">
        <v>310</v>
      </c>
    </row>
    <row r="127" spans="2:5" hidden="1">
      <c r="B127" s="1">
        <v>5110100505</v>
      </c>
      <c r="C127" s="1" t="s">
        <v>446</v>
      </c>
      <c r="D127" s="1" t="s">
        <v>299</v>
      </c>
      <c r="E127" s="1" t="s">
        <v>310</v>
      </c>
    </row>
    <row r="128" spans="2:5" hidden="1">
      <c r="B128" s="1">
        <v>5110100506</v>
      </c>
      <c r="C128" s="1" t="s">
        <v>447</v>
      </c>
      <c r="D128" s="1" t="s">
        <v>299</v>
      </c>
      <c r="E128" s="1" t="s">
        <v>310</v>
      </c>
    </row>
    <row r="129" spans="2:5" hidden="1">
      <c r="B129" s="1">
        <v>5110100507</v>
      </c>
      <c r="C129" s="1" t="s">
        <v>448</v>
      </c>
      <c r="D129" s="1" t="s">
        <v>299</v>
      </c>
      <c r="E129" s="1" t="s">
        <v>310</v>
      </c>
    </row>
    <row r="130" spans="2:5" hidden="1">
      <c r="B130" s="1">
        <v>5110100508</v>
      </c>
      <c r="C130" s="1" t="s">
        <v>449</v>
      </c>
      <c r="D130" s="1" t="s">
        <v>299</v>
      </c>
      <c r="E130" s="1" t="s">
        <v>310</v>
      </c>
    </row>
    <row r="131" spans="2:5" hidden="1">
      <c r="B131" s="1">
        <v>5110100601</v>
      </c>
      <c r="C131" s="1" t="s">
        <v>450</v>
      </c>
      <c r="D131" s="1" t="s">
        <v>299</v>
      </c>
      <c r="E131" s="1" t="s">
        <v>310</v>
      </c>
    </row>
    <row r="132" spans="2:5" hidden="1">
      <c r="B132" s="1">
        <v>5110100602</v>
      </c>
      <c r="C132" s="1" t="s">
        <v>451</v>
      </c>
      <c r="D132" s="1" t="s">
        <v>299</v>
      </c>
      <c r="E132" s="1" t="s">
        <v>310</v>
      </c>
    </row>
    <row r="133" spans="2:5" hidden="1">
      <c r="B133" s="1">
        <v>5110100603</v>
      </c>
      <c r="C133" s="1" t="s">
        <v>452</v>
      </c>
      <c r="D133" s="1" t="s">
        <v>299</v>
      </c>
      <c r="E133" s="1" t="s">
        <v>310</v>
      </c>
    </row>
    <row r="134" spans="2:5" hidden="1">
      <c r="B134" s="1">
        <v>5110100604</v>
      </c>
      <c r="C134" s="1" t="s">
        <v>453</v>
      </c>
      <c r="D134" s="1" t="s">
        <v>299</v>
      </c>
      <c r="E134" s="1" t="s">
        <v>310</v>
      </c>
    </row>
    <row r="135" spans="2:5" hidden="1">
      <c r="B135" s="1">
        <v>5110100605</v>
      </c>
      <c r="C135" s="1" t="s">
        <v>454</v>
      </c>
      <c r="D135" s="1" t="s">
        <v>299</v>
      </c>
      <c r="E135" s="1" t="s">
        <v>310</v>
      </c>
    </row>
    <row r="136" spans="2:5" hidden="1">
      <c r="B136" s="1">
        <v>5110100606</v>
      </c>
      <c r="C136" s="1" t="s">
        <v>455</v>
      </c>
      <c r="D136" s="1" t="s">
        <v>299</v>
      </c>
      <c r="E136" s="1" t="s">
        <v>310</v>
      </c>
    </row>
    <row r="137" spans="2:5" hidden="1">
      <c r="B137" s="1">
        <v>5110100607</v>
      </c>
      <c r="C137" s="1" t="s">
        <v>456</v>
      </c>
      <c r="D137" s="1" t="s">
        <v>299</v>
      </c>
      <c r="E137" s="1" t="s">
        <v>310</v>
      </c>
    </row>
    <row r="138" spans="2:5" hidden="1">
      <c r="B138" s="1">
        <v>5110100608</v>
      </c>
      <c r="C138" s="1" t="s">
        <v>457</v>
      </c>
      <c r="D138" s="1" t="s">
        <v>299</v>
      </c>
      <c r="E138" s="1" t="s">
        <v>310</v>
      </c>
    </row>
    <row r="139" spans="2:5" hidden="1">
      <c r="B139" s="1">
        <v>5110100609</v>
      </c>
      <c r="C139" s="1" t="s">
        <v>458</v>
      </c>
      <c r="D139" s="1" t="s">
        <v>299</v>
      </c>
      <c r="E139" s="1" t="s">
        <v>310</v>
      </c>
    </row>
    <row r="140" spans="2:5" hidden="1">
      <c r="B140" s="1">
        <v>5110100701</v>
      </c>
      <c r="C140" s="1" t="s">
        <v>459</v>
      </c>
      <c r="D140" s="1" t="s">
        <v>299</v>
      </c>
      <c r="E140" s="1" t="s">
        <v>310</v>
      </c>
    </row>
    <row r="141" spans="2:5" hidden="1">
      <c r="B141" s="1">
        <v>5110100702</v>
      </c>
      <c r="C141" s="1" t="s">
        <v>460</v>
      </c>
      <c r="D141" s="1" t="s">
        <v>299</v>
      </c>
      <c r="E141" s="1" t="s">
        <v>310</v>
      </c>
    </row>
    <row r="142" spans="2:5" hidden="1">
      <c r="B142" s="1">
        <v>5110100703</v>
      </c>
      <c r="C142" s="1" t="s">
        <v>461</v>
      </c>
      <c r="D142" s="1" t="s">
        <v>299</v>
      </c>
      <c r="E142" s="1" t="s">
        <v>310</v>
      </c>
    </row>
    <row r="143" spans="2:5" hidden="1">
      <c r="B143" s="1">
        <v>5110100704</v>
      </c>
      <c r="C143" s="1" t="s">
        <v>462</v>
      </c>
      <c r="D143" s="1" t="s">
        <v>299</v>
      </c>
      <c r="E143" s="1" t="s">
        <v>310</v>
      </c>
    </row>
    <row r="144" spans="2:5" hidden="1">
      <c r="B144" s="1">
        <v>5110100705</v>
      </c>
      <c r="C144" s="1" t="s">
        <v>463</v>
      </c>
      <c r="D144" s="1" t="s">
        <v>299</v>
      </c>
      <c r="E144" s="1" t="s">
        <v>310</v>
      </c>
    </row>
    <row r="145" spans="2:5" hidden="1">
      <c r="B145" s="1">
        <v>5110100706</v>
      </c>
      <c r="C145" s="1" t="s">
        <v>464</v>
      </c>
      <c r="D145" s="1" t="s">
        <v>299</v>
      </c>
      <c r="E145" s="1" t="s">
        <v>310</v>
      </c>
    </row>
    <row r="146" spans="2:5" hidden="1">
      <c r="B146" s="1">
        <v>5110100707</v>
      </c>
      <c r="C146" s="1" t="s">
        <v>465</v>
      </c>
      <c r="D146" s="1" t="s">
        <v>299</v>
      </c>
      <c r="E146" s="1" t="s">
        <v>310</v>
      </c>
    </row>
    <row r="147" spans="2:5" hidden="1">
      <c r="B147" s="1">
        <v>5110100801</v>
      </c>
      <c r="C147" s="1" t="s">
        <v>466</v>
      </c>
      <c r="D147" s="1" t="s">
        <v>299</v>
      </c>
      <c r="E147" s="1" t="s">
        <v>310</v>
      </c>
    </row>
    <row r="148" spans="2:5" hidden="1">
      <c r="B148" s="1">
        <v>5110100802</v>
      </c>
      <c r="C148" s="1" t="s">
        <v>467</v>
      </c>
      <c r="D148" s="1" t="s">
        <v>299</v>
      </c>
      <c r="E148" s="1" t="s">
        <v>310</v>
      </c>
    </row>
    <row r="149" spans="2:5" hidden="1">
      <c r="B149" s="1">
        <v>5110100803</v>
      </c>
      <c r="C149" s="1" t="s">
        <v>468</v>
      </c>
      <c r="D149" s="1" t="s">
        <v>299</v>
      </c>
      <c r="E149" s="1" t="s">
        <v>310</v>
      </c>
    </row>
    <row r="150" spans="2:5" hidden="1">
      <c r="B150" s="1">
        <v>5110100804</v>
      </c>
      <c r="C150" s="1" t="s">
        <v>469</v>
      </c>
      <c r="D150" s="1" t="s">
        <v>299</v>
      </c>
      <c r="E150" s="1" t="s">
        <v>310</v>
      </c>
    </row>
    <row r="151" spans="2:5" hidden="1">
      <c r="B151" s="1">
        <v>5110100805</v>
      </c>
      <c r="C151" s="1" t="s">
        <v>470</v>
      </c>
      <c r="D151" s="1" t="s">
        <v>299</v>
      </c>
      <c r="E151" s="1" t="s">
        <v>310</v>
      </c>
    </row>
    <row r="152" spans="2:5" hidden="1">
      <c r="B152" s="1">
        <v>5110100806</v>
      </c>
      <c r="C152" s="1" t="s">
        <v>471</v>
      </c>
      <c r="D152" s="1" t="s">
        <v>299</v>
      </c>
      <c r="E152" s="1" t="s">
        <v>310</v>
      </c>
    </row>
    <row r="153" spans="2:5" hidden="1">
      <c r="B153" s="1">
        <v>5110100807</v>
      </c>
      <c r="C153" s="1" t="s">
        <v>472</v>
      </c>
      <c r="D153" s="1" t="s">
        <v>299</v>
      </c>
      <c r="E153" s="1" t="s">
        <v>310</v>
      </c>
    </row>
    <row r="154" spans="2:5" hidden="1">
      <c r="B154" s="1">
        <v>5110100901</v>
      </c>
      <c r="C154" s="1" t="s">
        <v>473</v>
      </c>
      <c r="D154" s="1" t="s">
        <v>299</v>
      </c>
      <c r="E154" s="1" t="s">
        <v>310</v>
      </c>
    </row>
    <row r="155" spans="2:5" hidden="1">
      <c r="B155" s="1">
        <v>5110100902</v>
      </c>
      <c r="C155" s="1" t="s">
        <v>474</v>
      </c>
      <c r="D155" s="1" t="s">
        <v>299</v>
      </c>
      <c r="E155" s="1" t="s">
        <v>310</v>
      </c>
    </row>
    <row r="156" spans="2:5" hidden="1">
      <c r="B156" s="1">
        <v>5110100903</v>
      </c>
      <c r="C156" s="1" t="s">
        <v>475</v>
      </c>
      <c r="D156" s="1" t="s">
        <v>299</v>
      </c>
      <c r="E156" s="1" t="s">
        <v>310</v>
      </c>
    </row>
    <row r="157" spans="2:5" hidden="1">
      <c r="B157" s="1">
        <v>5110100904</v>
      </c>
      <c r="C157" s="1" t="s">
        <v>476</v>
      </c>
      <c r="D157" s="1" t="s">
        <v>299</v>
      </c>
      <c r="E157" s="1" t="s">
        <v>310</v>
      </c>
    </row>
    <row r="158" spans="2:5" hidden="1">
      <c r="B158" s="1">
        <v>5110100905</v>
      </c>
      <c r="C158" s="1" t="s">
        <v>477</v>
      </c>
      <c r="D158" s="1" t="s">
        <v>299</v>
      </c>
      <c r="E158" s="1" t="s">
        <v>310</v>
      </c>
    </row>
    <row r="159" spans="2:5" hidden="1">
      <c r="B159" s="1">
        <v>5110100906</v>
      </c>
      <c r="C159" s="1" t="s">
        <v>478</v>
      </c>
      <c r="D159" s="1" t="s">
        <v>299</v>
      </c>
      <c r="E159" s="1" t="s">
        <v>310</v>
      </c>
    </row>
    <row r="160" spans="2:5" hidden="1">
      <c r="B160" s="1">
        <v>5110100907</v>
      </c>
      <c r="C160" s="1" t="s">
        <v>479</v>
      </c>
      <c r="D160" s="1" t="s">
        <v>299</v>
      </c>
      <c r="E160" s="1" t="s">
        <v>480</v>
      </c>
    </row>
    <row r="161" spans="2:5" hidden="1">
      <c r="B161" s="1">
        <v>5110100908</v>
      </c>
      <c r="C161" s="1" t="s">
        <v>481</v>
      </c>
      <c r="D161" s="1" t="s">
        <v>299</v>
      </c>
      <c r="E161" s="1" t="s">
        <v>480</v>
      </c>
    </row>
    <row r="162" spans="2:5" hidden="1">
      <c r="B162" s="1">
        <v>5110100909</v>
      </c>
      <c r="C162" s="1" t="s">
        <v>482</v>
      </c>
      <c r="D162" s="1" t="s">
        <v>299</v>
      </c>
      <c r="E162" s="1" t="s">
        <v>480</v>
      </c>
    </row>
    <row r="163" spans="2:5" hidden="1">
      <c r="B163" s="1">
        <v>5110100910</v>
      </c>
      <c r="C163" s="1" t="s">
        <v>483</v>
      </c>
      <c r="D163" s="1" t="s">
        <v>299</v>
      </c>
      <c r="E163" s="1" t="s">
        <v>310</v>
      </c>
    </row>
    <row r="164" spans="2:5" hidden="1">
      <c r="B164" s="1">
        <v>5110100911</v>
      </c>
      <c r="C164" s="1" t="s">
        <v>484</v>
      </c>
      <c r="D164" s="1" t="s">
        <v>299</v>
      </c>
      <c r="E164" s="1" t="s">
        <v>310</v>
      </c>
    </row>
    <row r="165" spans="2:5" hidden="1">
      <c r="B165" s="1">
        <v>5110100912</v>
      </c>
      <c r="C165" s="1" t="s">
        <v>485</v>
      </c>
      <c r="D165" s="1" t="s">
        <v>299</v>
      </c>
      <c r="E165" s="1" t="s">
        <v>310</v>
      </c>
    </row>
    <row r="166" spans="2:5" hidden="1">
      <c r="B166" s="1">
        <v>5110100913</v>
      </c>
      <c r="C166" s="1" t="s">
        <v>486</v>
      </c>
      <c r="D166" s="1" t="s">
        <v>299</v>
      </c>
      <c r="E166" s="1" t="s">
        <v>310</v>
      </c>
    </row>
    <row r="167" spans="2:5" hidden="1">
      <c r="B167" s="1">
        <v>5110100914</v>
      </c>
      <c r="C167" s="1" t="s">
        <v>487</v>
      </c>
      <c r="D167" s="1" t="s">
        <v>299</v>
      </c>
      <c r="E167" s="1" t="s">
        <v>310</v>
      </c>
    </row>
    <row r="168" spans="2:5" hidden="1">
      <c r="B168" s="1">
        <v>5110100915</v>
      </c>
      <c r="C168" s="1" t="s">
        <v>488</v>
      </c>
      <c r="D168" s="1" t="s">
        <v>299</v>
      </c>
      <c r="E168" s="1" t="s">
        <v>310</v>
      </c>
    </row>
    <row r="169" spans="2:5" hidden="1">
      <c r="B169" s="1">
        <v>5110100916</v>
      </c>
      <c r="C169" s="1" t="s">
        <v>489</v>
      </c>
      <c r="D169" s="1" t="s">
        <v>299</v>
      </c>
      <c r="E169" s="1" t="s">
        <v>310</v>
      </c>
    </row>
    <row r="170" spans="2:5" hidden="1">
      <c r="B170" s="1">
        <v>5110100917</v>
      </c>
      <c r="C170" s="1" t="s">
        <v>490</v>
      </c>
      <c r="D170" s="1" t="s">
        <v>299</v>
      </c>
      <c r="E170" s="1" t="s">
        <v>310</v>
      </c>
    </row>
    <row r="171" spans="2:5" hidden="1">
      <c r="B171" s="1">
        <v>5110100918</v>
      </c>
      <c r="C171" s="1" t="s">
        <v>491</v>
      </c>
      <c r="D171" s="1" t="s">
        <v>299</v>
      </c>
      <c r="E171" s="1" t="s">
        <v>310</v>
      </c>
    </row>
    <row r="172" spans="2:5" hidden="1">
      <c r="B172" s="1">
        <v>5110100919</v>
      </c>
      <c r="C172" s="1" t="s">
        <v>492</v>
      </c>
      <c r="D172" s="1" t="s">
        <v>299</v>
      </c>
      <c r="E172" s="1" t="s">
        <v>310</v>
      </c>
    </row>
    <row r="173" spans="2:5" hidden="1">
      <c r="B173" s="1">
        <v>5110101001</v>
      </c>
      <c r="C173" s="1" t="s">
        <v>493</v>
      </c>
      <c r="D173" s="1" t="s">
        <v>299</v>
      </c>
      <c r="E173" s="1" t="s">
        <v>301</v>
      </c>
    </row>
    <row r="174" spans="2:5" hidden="1">
      <c r="B174" s="1">
        <v>5110101002</v>
      </c>
      <c r="C174" s="1" t="s">
        <v>494</v>
      </c>
      <c r="D174" s="1" t="s">
        <v>299</v>
      </c>
      <c r="E174" s="1" t="s">
        <v>301</v>
      </c>
    </row>
    <row r="175" spans="2:5" hidden="1">
      <c r="B175" s="1">
        <v>5110101003</v>
      </c>
      <c r="C175" s="1" t="s">
        <v>495</v>
      </c>
      <c r="D175" s="1" t="s">
        <v>299</v>
      </c>
      <c r="E175" s="1" t="s">
        <v>301</v>
      </c>
    </row>
    <row r="176" spans="2:5" hidden="1">
      <c r="B176" s="1">
        <v>5110101004</v>
      </c>
      <c r="C176" s="1" t="s">
        <v>496</v>
      </c>
      <c r="D176" s="1" t="s">
        <v>299</v>
      </c>
      <c r="E176" s="1" t="s">
        <v>301</v>
      </c>
    </row>
    <row r="177" spans="2:5" hidden="1">
      <c r="B177" s="1">
        <v>5110101005</v>
      </c>
      <c r="C177" s="1" t="s">
        <v>497</v>
      </c>
      <c r="D177" s="1" t="s">
        <v>299</v>
      </c>
      <c r="E177" s="1" t="s">
        <v>301</v>
      </c>
    </row>
    <row r="178" spans="2:5" hidden="1">
      <c r="B178" s="1">
        <v>5110101006</v>
      </c>
      <c r="C178" s="1" t="s">
        <v>498</v>
      </c>
      <c r="D178" s="1" t="s">
        <v>299</v>
      </c>
      <c r="E178" s="1" t="s">
        <v>301</v>
      </c>
    </row>
    <row r="179" spans="2:5">
      <c r="B179" s="1">
        <v>5120100101</v>
      </c>
      <c r="C179" s="1" t="s">
        <v>499</v>
      </c>
      <c r="D179" s="1" t="s">
        <v>299</v>
      </c>
      <c r="E179" s="1" t="s">
        <v>308</v>
      </c>
    </row>
    <row r="180" spans="2:5">
      <c r="B180" s="1">
        <v>5120100102</v>
      </c>
      <c r="C180" s="1" t="s">
        <v>500</v>
      </c>
      <c r="D180" s="1" t="s">
        <v>299</v>
      </c>
      <c r="E180" s="1" t="s">
        <v>308</v>
      </c>
    </row>
    <row r="181" spans="2:5">
      <c r="B181" s="1">
        <v>5120100103</v>
      </c>
      <c r="C181" s="1" t="s">
        <v>501</v>
      </c>
      <c r="D181" s="1" t="s">
        <v>299</v>
      </c>
      <c r="E181" s="1" t="s">
        <v>303</v>
      </c>
    </row>
    <row r="182" spans="2:5">
      <c r="B182" s="1">
        <v>5120100104</v>
      </c>
      <c r="C182" s="1" t="s">
        <v>502</v>
      </c>
      <c r="D182" s="1" t="s">
        <v>299</v>
      </c>
      <c r="E182" s="1" t="s">
        <v>303</v>
      </c>
    </row>
    <row r="183" spans="2:5">
      <c r="B183" s="1">
        <v>5120100105</v>
      </c>
      <c r="C183" s="1" t="s">
        <v>503</v>
      </c>
      <c r="D183" s="1" t="s">
        <v>299</v>
      </c>
      <c r="E183" s="1" t="s">
        <v>303</v>
      </c>
    </row>
    <row r="184" spans="2:5">
      <c r="B184" s="1">
        <v>5120100106</v>
      </c>
      <c r="C184" s="1" t="s">
        <v>329</v>
      </c>
      <c r="D184" s="1" t="s">
        <v>299</v>
      </c>
      <c r="E184" s="1" t="s">
        <v>303</v>
      </c>
    </row>
    <row r="185" spans="2:5">
      <c r="B185" s="1">
        <v>5120100107</v>
      </c>
      <c r="C185" s="1" t="s">
        <v>504</v>
      </c>
      <c r="D185" s="1" t="s">
        <v>299</v>
      </c>
      <c r="E185" s="1" t="s">
        <v>303</v>
      </c>
    </row>
    <row r="186" spans="2:5">
      <c r="B186" s="1">
        <v>5120100108</v>
      </c>
      <c r="C186" s="1" t="s">
        <v>505</v>
      </c>
      <c r="D186" s="1" t="s">
        <v>299</v>
      </c>
      <c r="E186" s="1" t="s">
        <v>303</v>
      </c>
    </row>
    <row r="187" spans="2:5">
      <c r="B187" s="1">
        <v>5120100109</v>
      </c>
      <c r="C187" s="1" t="s">
        <v>506</v>
      </c>
      <c r="D187" s="1" t="s">
        <v>299</v>
      </c>
      <c r="E187" s="1" t="s">
        <v>303</v>
      </c>
    </row>
    <row r="188" spans="2:5">
      <c r="B188" s="1">
        <v>5120100110</v>
      </c>
      <c r="C188" s="1" t="s">
        <v>507</v>
      </c>
      <c r="D188" s="1" t="s">
        <v>299</v>
      </c>
      <c r="E188" s="1" t="s">
        <v>303</v>
      </c>
    </row>
    <row r="189" spans="2:5">
      <c r="B189" s="1">
        <v>5120100111</v>
      </c>
      <c r="C189" s="1" t="s">
        <v>508</v>
      </c>
      <c r="D189" s="1" t="s">
        <v>299</v>
      </c>
      <c r="E189" s="1" t="s">
        <v>303</v>
      </c>
    </row>
    <row r="190" spans="2:5">
      <c r="B190" s="1">
        <v>5120100112</v>
      </c>
      <c r="C190" s="1" t="s">
        <v>509</v>
      </c>
      <c r="D190" s="1" t="s">
        <v>299</v>
      </c>
      <c r="E190" s="1" t="s">
        <v>303</v>
      </c>
    </row>
    <row r="191" spans="2:5" hidden="1">
      <c r="B191" s="1">
        <v>5130100101</v>
      </c>
      <c r="C191" s="1" t="s">
        <v>510</v>
      </c>
      <c r="D191" s="1" t="s">
        <v>299</v>
      </c>
      <c r="E191" s="1" t="s">
        <v>346</v>
      </c>
    </row>
    <row r="192" spans="2:5" hidden="1">
      <c r="B192" s="1">
        <v>5130100102</v>
      </c>
      <c r="C192" s="1" t="s">
        <v>511</v>
      </c>
      <c r="D192" s="1" t="s">
        <v>299</v>
      </c>
      <c r="E192" s="1" t="s">
        <v>346</v>
      </c>
    </row>
    <row r="193" spans="2:5" hidden="1">
      <c r="B193" s="1">
        <v>5130100103</v>
      </c>
      <c r="C193" s="1" t="s">
        <v>512</v>
      </c>
      <c r="D193" s="1" t="s">
        <v>299</v>
      </c>
      <c r="E193" s="1" t="s">
        <v>346</v>
      </c>
    </row>
    <row r="194" spans="2:5" hidden="1">
      <c r="B194" s="1">
        <v>5130100104</v>
      </c>
      <c r="C194" s="1" t="s">
        <v>513</v>
      </c>
      <c r="D194" s="1" t="s">
        <v>299</v>
      </c>
      <c r="E194" s="1" t="s">
        <v>350</v>
      </c>
    </row>
    <row r="195" spans="2:5" hidden="1">
      <c r="B195" s="1">
        <v>5130100105</v>
      </c>
      <c r="C195" s="1" t="s">
        <v>514</v>
      </c>
      <c r="D195" s="1" t="s">
        <v>299</v>
      </c>
      <c r="E195" s="1" t="s">
        <v>346</v>
      </c>
    </row>
    <row r="196" spans="2:5" hidden="1">
      <c r="B196" s="1">
        <v>5130100106</v>
      </c>
      <c r="C196" s="1" t="s">
        <v>515</v>
      </c>
      <c r="D196" s="1" t="s">
        <v>299</v>
      </c>
      <c r="E196" s="1" t="s">
        <v>346</v>
      </c>
    </row>
    <row r="197" spans="2:5" hidden="1">
      <c r="B197" s="1">
        <v>5130100107</v>
      </c>
      <c r="C197" s="1" t="s">
        <v>516</v>
      </c>
      <c r="D197" s="1" t="s">
        <v>299</v>
      </c>
      <c r="E197" s="1" t="s">
        <v>346</v>
      </c>
    </row>
    <row r="198" spans="2:5" hidden="1">
      <c r="B198" s="1">
        <v>5130100108</v>
      </c>
      <c r="C198" s="1" t="s">
        <v>517</v>
      </c>
      <c r="D198" s="1" t="s">
        <v>299</v>
      </c>
      <c r="E198" s="1" t="s">
        <v>346</v>
      </c>
    </row>
    <row r="199" spans="2:5" hidden="1">
      <c r="B199" s="1">
        <v>5130100109</v>
      </c>
      <c r="C199" s="1" t="s">
        <v>518</v>
      </c>
      <c r="D199" s="1" t="s">
        <v>299</v>
      </c>
      <c r="E199" s="1" t="s">
        <v>346</v>
      </c>
    </row>
    <row r="200" spans="2:5" hidden="1">
      <c r="B200" s="1">
        <v>5130100110</v>
      </c>
      <c r="C200" s="1" t="s">
        <v>519</v>
      </c>
      <c r="D200" s="1" t="s">
        <v>299</v>
      </c>
      <c r="E200" s="1" t="s">
        <v>361</v>
      </c>
    </row>
    <row r="201" spans="2:5" hidden="1">
      <c r="B201" s="1">
        <v>5130100201</v>
      </c>
      <c r="C201" s="1" t="s">
        <v>520</v>
      </c>
      <c r="D201" s="1" t="s">
        <v>299</v>
      </c>
      <c r="E201" s="1" t="s">
        <v>357</v>
      </c>
    </row>
    <row r="202" spans="2:5" hidden="1">
      <c r="B202" s="1">
        <v>5130100202</v>
      </c>
      <c r="C202" s="1" t="s">
        <v>521</v>
      </c>
      <c r="D202" s="1" t="s">
        <v>299</v>
      </c>
      <c r="E202" s="1" t="s">
        <v>346</v>
      </c>
    </row>
    <row r="203" spans="2:5" hidden="1">
      <c r="B203" s="1">
        <v>5130100301</v>
      </c>
      <c r="C203" s="1" t="s">
        <v>522</v>
      </c>
      <c r="D203" s="1" t="s">
        <v>299</v>
      </c>
      <c r="E203" s="1" t="s">
        <v>346</v>
      </c>
    </row>
    <row r="204" spans="2:5" hidden="1">
      <c r="B204" s="1">
        <v>5130100302</v>
      </c>
      <c r="C204" s="1" t="s">
        <v>523</v>
      </c>
      <c r="D204" s="1" t="s">
        <v>299</v>
      </c>
      <c r="E204" s="1" t="s">
        <v>346</v>
      </c>
    </row>
    <row r="205" spans="2:5" hidden="1">
      <c r="B205" s="1">
        <v>5210100101</v>
      </c>
      <c r="C205" s="1" t="s">
        <v>524</v>
      </c>
      <c r="D205" s="1" t="s">
        <v>299</v>
      </c>
      <c r="E205" s="1" t="s">
        <v>525</v>
      </c>
    </row>
    <row r="206" spans="2:5" hidden="1">
      <c r="B206" s="1">
        <v>5210100102</v>
      </c>
      <c r="C206" s="1" t="s">
        <v>526</v>
      </c>
      <c r="D206" s="1" t="s">
        <v>299</v>
      </c>
      <c r="E206" s="1" t="s">
        <v>527</v>
      </c>
    </row>
    <row r="207" spans="2:5" hidden="1">
      <c r="B207" s="1">
        <v>5210100103</v>
      </c>
      <c r="C207" s="1" t="s">
        <v>528</v>
      </c>
      <c r="D207" s="1" t="s">
        <v>299</v>
      </c>
      <c r="E207" s="1" t="s">
        <v>527</v>
      </c>
    </row>
    <row r="208" spans="2:5" hidden="1">
      <c r="B208" s="1">
        <v>5210100201</v>
      </c>
      <c r="C208" s="1" t="s">
        <v>529</v>
      </c>
      <c r="D208" s="1" t="s">
        <v>299</v>
      </c>
      <c r="E208" s="1" t="s">
        <v>525</v>
      </c>
    </row>
    <row r="209" spans="2:5" hidden="1">
      <c r="B209" s="1">
        <v>5210100202</v>
      </c>
      <c r="C209" s="1" t="s">
        <v>530</v>
      </c>
      <c r="D209" s="1" t="s">
        <v>299</v>
      </c>
      <c r="E209" s="1" t="s">
        <v>527</v>
      </c>
    </row>
    <row r="210" spans="2:5" hidden="1">
      <c r="B210" s="1">
        <v>5210100203</v>
      </c>
      <c r="C210" s="1" t="s">
        <v>531</v>
      </c>
      <c r="D210" s="1" t="s">
        <v>299</v>
      </c>
      <c r="E210" s="1" t="s">
        <v>527</v>
      </c>
    </row>
  </sheetData>
  <autoFilter ref="B2:E210" xr:uid="{00000000-0001-0000-0100-000000000000}">
    <filterColumn colId="3">
      <filters>
        <filter val="3.2 Despesas financeiras"/>
        <filter val="3.2 Receitas financeira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A3C4-F344-4DB2-8DAE-B911F9460355}">
  <sheetPr>
    <tabColor rgb="FFFF0000"/>
  </sheetPr>
  <dimension ref="B1:XFD84"/>
  <sheetViews>
    <sheetView showGridLines="0" zoomScale="84" zoomScaleNormal="84" workbookViewId="0"/>
  </sheetViews>
  <sheetFormatPr defaultColWidth="8.7109375" defaultRowHeight="14.45"/>
  <cols>
    <col min="1" max="1" width="1.140625" style="17" customWidth="1"/>
    <col min="2" max="2" width="27.42578125" style="17" bestFit="1" customWidth="1"/>
    <col min="3" max="6" width="17.42578125" style="17" customWidth="1"/>
    <col min="7" max="16384" width="8.7109375" style="17"/>
  </cols>
  <sheetData>
    <row r="1" spans="2:6 16384:16384" ht="5.45" customHeight="1"/>
    <row r="2" spans="2:6 16384:16384" ht="18.95" customHeight="1">
      <c r="B2" s="18" t="s">
        <v>532</v>
      </c>
      <c r="C2" s="19" t="s">
        <v>533</v>
      </c>
    </row>
    <row r="3" spans="2:6 16384:16384" ht="16.5">
      <c r="B3" s="20"/>
      <c r="C3" s="67" t="s">
        <v>534</v>
      </c>
      <c r="D3" s="67"/>
      <c r="E3" s="67"/>
      <c r="F3" s="67"/>
      <c r="XFD3" s="17" t="s">
        <v>34</v>
      </c>
    </row>
    <row r="4" spans="2:6 16384:16384" ht="16.5">
      <c r="B4" s="21" t="s">
        <v>6</v>
      </c>
      <c r="C4" s="22" t="s">
        <v>535</v>
      </c>
      <c r="D4" s="23" t="s">
        <v>536</v>
      </c>
      <c r="E4" s="23" t="s">
        <v>537</v>
      </c>
      <c r="F4" s="23" t="s">
        <v>538</v>
      </c>
      <c r="XFD4" s="17" t="s">
        <v>85</v>
      </c>
    </row>
    <row r="5" spans="2:6 16384:16384" ht="16.5">
      <c r="B5" s="24" t="s">
        <v>539</v>
      </c>
      <c r="C5" s="25">
        <f>SUM(C6:C84)</f>
        <v>1848174.3130000001</v>
      </c>
      <c r="D5" s="25">
        <f t="shared" ref="D5:E5" si="0">SUM(D6:D84)</f>
        <v>1764198.0016666674</v>
      </c>
      <c r="E5" s="25">
        <f t="shared" si="0"/>
        <v>1772362</v>
      </c>
      <c r="F5" s="26"/>
      <c r="XFD5" s="17" t="s">
        <v>533</v>
      </c>
    </row>
    <row r="6" spans="2:6 16384:16384">
      <c r="B6" s="27" t="s">
        <v>13</v>
      </c>
      <c r="C6" s="28">
        <f>IF($C$2="TODOS",SUMIFS('Orçamento 2027 - G&amp;A'!$W:$W,'Orçamento 2027 - G&amp;A'!$B:$B,Resumo!$B6),SUMIFS('Orçamento 2027 - G&amp;A'!$W:$W,'Orçamento 2027 - G&amp;A'!$B:$B,Resumo!$B6,'Orçamento 2027 - G&amp;A'!$D:$D,Resumo!$C$2))</f>
        <v>1848174.3130000001</v>
      </c>
      <c r="D6" s="28">
        <f>IF($C$2="TODOS",SUMIFS('Orçamento 2027 - G&amp;A'!$AK:$AK,'Orçamento 2027 - G&amp;A'!$B:$B,Resumo!$B6),SUMIFS('Orçamento 2027 - G&amp;A'!$AK:$AK,'Orçamento 2027 - G&amp;A'!$B:$B,Resumo!$B6,'Orçamento 2027 - G&amp;A'!$D:$D,Resumo!$C$2))</f>
        <v>1764198.0016666674</v>
      </c>
      <c r="E6" s="29">
        <f>IF($C$2="TODOS",SUMIFS('Orçamento 2027 - G&amp;A'!$AX:$AX,'Orçamento 2027 - G&amp;A'!$B:$B,Resumo!$B6),SUMIFS('Orçamento 2027 - G&amp;A'!$AX:$AX,'Orçamento 2027 - G&amp;A'!$B:$B,Resumo!$B6,'Orçamento 2027 - G&amp;A'!$D:$D,Resumo!$C$2))</f>
        <v>1772362</v>
      </c>
      <c r="F6" s="29" t="str">
        <f>IF(AND(E6=0,D6&lt;&gt;0),"PENDENTE","OK")</f>
        <v>OK</v>
      </c>
    </row>
    <row r="7" spans="2:6 16384:16384">
      <c r="B7" s="30" t="s">
        <v>20</v>
      </c>
      <c r="C7" s="28">
        <f>IF($C$2="TODOS",SUMIFS('Orçamento 2027 - G&amp;A'!$W:$W,'Orçamento 2027 - G&amp;A'!$B:$B,Resumo!$B7),SUMIFS('Orçamento 2027 - G&amp;A'!$W:$W,'Orçamento 2027 - G&amp;A'!$B:$B,Resumo!$B7,'Orçamento 2027 - G&amp;A'!$D:$D,Resumo!$C$2))</f>
        <v>0</v>
      </c>
      <c r="D7" s="28">
        <f>IF($C$2="TODOS",SUMIFS('Orçamento 2027 - G&amp;A'!$AK:$AK,'Orçamento 2027 - G&amp;A'!$B:$B,Resumo!$B7),SUMIFS('Orçamento 2027 - G&amp;A'!$AK:$AK,'Orçamento 2027 - G&amp;A'!$B:$B,Resumo!$B7,'Orçamento 2027 - G&amp;A'!$D:$D,Resumo!$C$2))</f>
        <v>0</v>
      </c>
      <c r="E7" s="29">
        <f>IF($C$2="TODOS",SUMIFS('Orçamento 2027 - G&amp;A'!$AX:$AX,'Orçamento 2027 - G&amp;A'!$B:$B,Resumo!$B7),SUMIFS('Orçamento 2027 - G&amp;A'!$AX:$AX,'Orçamento 2027 - G&amp;A'!$B:$B,Resumo!$B7,'Orçamento 2027 - G&amp;A'!$D:$D,Resumo!$C$2))</f>
        <v>0</v>
      </c>
      <c r="F7" s="29" t="str">
        <f t="shared" ref="F7:F70" si="1">IF(AND(E7=0,D7&lt;&gt;0),"PENDENTE","OK")</f>
        <v>OK</v>
      </c>
    </row>
    <row r="8" spans="2:6 16384:16384">
      <c r="B8" s="30" t="s">
        <v>25</v>
      </c>
      <c r="C8" s="28">
        <f>IF($C$2="TODOS",SUMIFS('Orçamento 2027 - G&amp;A'!$W:$W,'Orçamento 2027 - G&amp;A'!$B:$B,Resumo!$B8),SUMIFS('Orçamento 2027 - G&amp;A'!$W:$W,'Orçamento 2027 - G&amp;A'!$B:$B,Resumo!$B8,'Orçamento 2027 - G&amp;A'!$D:$D,Resumo!$C$2))</f>
        <v>0</v>
      </c>
      <c r="D8" s="28">
        <f>IF($C$2="TODOS",SUMIFS('Orçamento 2027 - G&amp;A'!$AK:$AK,'Orçamento 2027 - G&amp;A'!$B:$B,Resumo!$B8),SUMIFS('Orçamento 2027 - G&amp;A'!$AK:$AK,'Orçamento 2027 - G&amp;A'!$B:$B,Resumo!$B8,'Orçamento 2027 - G&amp;A'!$D:$D,Resumo!$C$2))</f>
        <v>0</v>
      </c>
      <c r="E8" s="29">
        <f>IF($C$2="TODOS",SUMIFS('Orçamento 2027 - G&amp;A'!$AX:$AX,'Orçamento 2027 - G&amp;A'!$B:$B,Resumo!$B8),SUMIFS('Orçamento 2027 - G&amp;A'!$AX:$AX,'Orçamento 2027 - G&amp;A'!$B:$B,Resumo!$B8,'Orçamento 2027 - G&amp;A'!$D:$D,Resumo!$C$2))</f>
        <v>0</v>
      </c>
      <c r="F8" s="29" t="str">
        <f t="shared" si="1"/>
        <v>OK</v>
      </c>
    </row>
    <row r="9" spans="2:6 16384:16384">
      <c r="B9" s="30" t="s">
        <v>31</v>
      </c>
      <c r="C9" s="28">
        <f>IF($C$2="TODOS",SUMIFS('Orçamento 2027 - G&amp;A'!$W:$W,'Orçamento 2027 - G&amp;A'!$B:$B,Resumo!$B9),SUMIFS('Orçamento 2027 - G&amp;A'!$W:$W,'Orçamento 2027 - G&amp;A'!$B:$B,Resumo!$B9,'Orçamento 2027 - G&amp;A'!$D:$D,Resumo!$C$2))</f>
        <v>0</v>
      </c>
      <c r="D9" s="28">
        <f>IF($C$2="TODOS",SUMIFS('Orçamento 2027 - G&amp;A'!$AK:$AK,'Orçamento 2027 - G&amp;A'!$B:$B,Resumo!$B9),SUMIFS('Orçamento 2027 - G&amp;A'!$AK:$AK,'Orçamento 2027 - G&amp;A'!$B:$B,Resumo!$B9,'Orçamento 2027 - G&amp;A'!$D:$D,Resumo!$C$2))</f>
        <v>0</v>
      </c>
      <c r="E9" s="29">
        <f>IF($C$2="TODOS",SUMIFS('Orçamento 2027 - G&amp;A'!$AX:$AX,'Orçamento 2027 - G&amp;A'!$B:$B,Resumo!$B9),SUMIFS('Orçamento 2027 - G&amp;A'!$AX:$AX,'Orçamento 2027 - G&amp;A'!$B:$B,Resumo!$B9,'Orçamento 2027 - G&amp;A'!$D:$D,Resumo!$C$2))</f>
        <v>0</v>
      </c>
      <c r="F9" s="29" t="str">
        <f t="shared" si="1"/>
        <v>OK</v>
      </c>
    </row>
    <row r="10" spans="2:6 16384:16384">
      <c r="B10" s="30" t="s">
        <v>38</v>
      </c>
      <c r="C10" s="28">
        <f>IF($C$2="TODOS",SUMIFS('Orçamento 2027 - G&amp;A'!$W:$W,'Orçamento 2027 - G&amp;A'!$B:$B,Resumo!$B10),SUMIFS('Orçamento 2027 - G&amp;A'!$W:$W,'Orçamento 2027 - G&amp;A'!$B:$B,Resumo!$B10,'Orçamento 2027 - G&amp;A'!$D:$D,Resumo!$C$2))</f>
        <v>0</v>
      </c>
      <c r="D10" s="28">
        <f>IF($C$2="TODOS",SUMIFS('Orçamento 2027 - G&amp;A'!$AK:$AK,'Orçamento 2027 - G&amp;A'!$B:$B,Resumo!$B10),SUMIFS('Orçamento 2027 - G&amp;A'!$AK:$AK,'Orçamento 2027 - G&amp;A'!$B:$B,Resumo!$B10,'Orçamento 2027 - G&amp;A'!$D:$D,Resumo!$C$2))</f>
        <v>0</v>
      </c>
      <c r="E10" s="29">
        <f>IF($C$2="TODOS",SUMIFS('Orçamento 2027 - G&amp;A'!$AX:$AX,'Orçamento 2027 - G&amp;A'!$B:$B,Resumo!$B10),SUMIFS('Orçamento 2027 - G&amp;A'!$AX:$AX,'Orçamento 2027 - G&amp;A'!$B:$B,Resumo!$B10,'Orçamento 2027 - G&amp;A'!$D:$D,Resumo!$C$2))</f>
        <v>0</v>
      </c>
      <c r="F10" s="29" t="str">
        <f t="shared" si="1"/>
        <v>OK</v>
      </c>
    </row>
    <row r="11" spans="2:6 16384:16384">
      <c r="B11" s="30" t="s">
        <v>44</v>
      </c>
      <c r="C11" s="28">
        <f>IF($C$2="TODOS",SUMIFS('Orçamento 2027 - G&amp;A'!$W:$W,'Orçamento 2027 - G&amp;A'!$B:$B,Resumo!$B11),SUMIFS('Orçamento 2027 - G&amp;A'!$W:$W,'Orçamento 2027 - G&amp;A'!$B:$B,Resumo!$B11,'Orçamento 2027 - G&amp;A'!$D:$D,Resumo!$C$2))</f>
        <v>0</v>
      </c>
      <c r="D11" s="28">
        <f>IF($C$2="TODOS",SUMIFS('Orçamento 2027 - G&amp;A'!$AK:$AK,'Orçamento 2027 - G&amp;A'!$B:$B,Resumo!$B11),SUMIFS('Orçamento 2027 - G&amp;A'!$AK:$AK,'Orçamento 2027 - G&amp;A'!$B:$B,Resumo!$B11,'Orçamento 2027 - G&amp;A'!$D:$D,Resumo!$C$2))</f>
        <v>0</v>
      </c>
      <c r="E11" s="29">
        <f>IF($C$2="TODOS",SUMIFS('Orçamento 2027 - G&amp;A'!$AX:$AX,'Orçamento 2027 - G&amp;A'!$B:$B,Resumo!$B11),SUMIFS('Orçamento 2027 - G&amp;A'!$AX:$AX,'Orçamento 2027 - G&amp;A'!$B:$B,Resumo!$B11,'Orçamento 2027 - G&amp;A'!$D:$D,Resumo!$C$2))</f>
        <v>0</v>
      </c>
      <c r="F11" s="29" t="str">
        <f t="shared" si="1"/>
        <v>OK</v>
      </c>
    </row>
    <row r="12" spans="2:6 16384:16384">
      <c r="B12" s="30" t="s">
        <v>50</v>
      </c>
      <c r="C12" s="28">
        <f>IF($C$2="TODOS",SUMIFS('Orçamento 2027 - G&amp;A'!$W:$W,'Orçamento 2027 - G&amp;A'!$B:$B,Resumo!$B12),SUMIFS('Orçamento 2027 - G&amp;A'!$W:$W,'Orçamento 2027 - G&amp;A'!$B:$B,Resumo!$B12,'Orçamento 2027 - G&amp;A'!$D:$D,Resumo!$C$2))</f>
        <v>0</v>
      </c>
      <c r="D12" s="28">
        <f>IF($C$2="TODOS",SUMIFS('Orçamento 2027 - G&amp;A'!$AK:$AK,'Orçamento 2027 - G&amp;A'!$B:$B,Resumo!$B12),SUMIFS('Orçamento 2027 - G&amp;A'!$AK:$AK,'Orçamento 2027 - G&amp;A'!$B:$B,Resumo!$B12,'Orçamento 2027 - G&amp;A'!$D:$D,Resumo!$C$2))</f>
        <v>0</v>
      </c>
      <c r="E12" s="29">
        <f>IF($C$2="TODOS",SUMIFS('Orçamento 2027 - G&amp;A'!$AX:$AX,'Orçamento 2027 - G&amp;A'!$B:$B,Resumo!$B12),SUMIFS('Orçamento 2027 - G&amp;A'!$AX:$AX,'Orçamento 2027 - G&amp;A'!$B:$B,Resumo!$B12,'Orçamento 2027 - G&amp;A'!$D:$D,Resumo!$C$2))</f>
        <v>0</v>
      </c>
      <c r="F12" s="29" t="str">
        <f t="shared" si="1"/>
        <v>OK</v>
      </c>
    </row>
    <row r="13" spans="2:6 16384:16384">
      <c r="B13" s="30" t="s">
        <v>56</v>
      </c>
      <c r="C13" s="28">
        <f>IF($C$2="TODOS",SUMIFS('Orçamento 2027 - G&amp;A'!$W:$W,'Orçamento 2027 - G&amp;A'!$B:$B,Resumo!$B13),SUMIFS('Orçamento 2027 - G&amp;A'!$W:$W,'Orçamento 2027 - G&amp;A'!$B:$B,Resumo!$B13,'Orçamento 2027 - G&amp;A'!$D:$D,Resumo!$C$2))</f>
        <v>0</v>
      </c>
      <c r="D13" s="28">
        <f>IF($C$2="TODOS",SUMIFS('Orçamento 2027 - G&amp;A'!$AK:$AK,'Orçamento 2027 - G&amp;A'!$B:$B,Resumo!$B13),SUMIFS('Orçamento 2027 - G&amp;A'!$AK:$AK,'Orçamento 2027 - G&amp;A'!$B:$B,Resumo!$B13,'Orçamento 2027 - G&amp;A'!$D:$D,Resumo!$C$2))</f>
        <v>0</v>
      </c>
      <c r="E13" s="29">
        <f>IF($C$2="TODOS",SUMIFS('Orçamento 2027 - G&amp;A'!$AX:$AX,'Orçamento 2027 - G&amp;A'!$B:$B,Resumo!$B13),SUMIFS('Orçamento 2027 - G&amp;A'!$AX:$AX,'Orçamento 2027 - G&amp;A'!$B:$B,Resumo!$B13,'Orçamento 2027 - G&amp;A'!$D:$D,Resumo!$C$2))</f>
        <v>0</v>
      </c>
      <c r="F13" s="29" t="str">
        <f t="shared" si="1"/>
        <v>OK</v>
      </c>
    </row>
    <row r="14" spans="2:6 16384:16384">
      <c r="B14" s="30" t="s">
        <v>62</v>
      </c>
      <c r="C14" s="28">
        <f>IF($C$2="TODOS",SUMIFS('Orçamento 2027 - G&amp;A'!$W:$W,'Orçamento 2027 - G&amp;A'!$B:$B,Resumo!$B14),SUMIFS('Orçamento 2027 - G&amp;A'!$W:$W,'Orçamento 2027 - G&amp;A'!$B:$B,Resumo!$B14,'Orçamento 2027 - G&amp;A'!$D:$D,Resumo!$C$2))</f>
        <v>0</v>
      </c>
      <c r="D14" s="28">
        <f>IF($C$2="TODOS",SUMIFS('Orçamento 2027 - G&amp;A'!$AK:$AK,'Orçamento 2027 - G&amp;A'!$B:$B,Resumo!$B14),SUMIFS('Orçamento 2027 - G&amp;A'!$AK:$AK,'Orçamento 2027 - G&amp;A'!$B:$B,Resumo!$B14,'Orçamento 2027 - G&amp;A'!$D:$D,Resumo!$C$2))</f>
        <v>0</v>
      </c>
      <c r="E14" s="29">
        <f>IF($C$2="TODOS",SUMIFS('Orçamento 2027 - G&amp;A'!$AX:$AX,'Orçamento 2027 - G&amp;A'!$B:$B,Resumo!$B14),SUMIFS('Orçamento 2027 - G&amp;A'!$AX:$AX,'Orçamento 2027 - G&amp;A'!$B:$B,Resumo!$B14,'Orçamento 2027 - G&amp;A'!$D:$D,Resumo!$C$2))</f>
        <v>0</v>
      </c>
      <c r="F14" s="29" t="str">
        <f t="shared" si="1"/>
        <v>OK</v>
      </c>
    </row>
    <row r="15" spans="2:6 16384:16384">
      <c r="B15" s="30" t="s">
        <v>68</v>
      </c>
      <c r="C15" s="28">
        <f>IF($C$2="TODOS",SUMIFS('Orçamento 2027 - G&amp;A'!$W:$W,'Orçamento 2027 - G&amp;A'!$B:$B,Resumo!$B15),SUMIFS('Orçamento 2027 - G&amp;A'!$W:$W,'Orçamento 2027 - G&amp;A'!$B:$B,Resumo!$B15,'Orçamento 2027 - G&amp;A'!$D:$D,Resumo!$C$2))</f>
        <v>0</v>
      </c>
      <c r="D15" s="28">
        <f>IF($C$2="TODOS",SUMIFS('Orçamento 2027 - G&amp;A'!$AK:$AK,'Orçamento 2027 - G&amp;A'!$B:$B,Resumo!$B15),SUMIFS('Orçamento 2027 - G&amp;A'!$AK:$AK,'Orçamento 2027 - G&amp;A'!$B:$B,Resumo!$B15,'Orçamento 2027 - G&amp;A'!$D:$D,Resumo!$C$2))</f>
        <v>0</v>
      </c>
      <c r="E15" s="29">
        <f>IF($C$2="TODOS",SUMIFS('Orçamento 2027 - G&amp;A'!$AX:$AX,'Orçamento 2027 - G&amp;A'!$B:$B,Resumo!$B15),SUMIFS('Orçamento 2027 - G&amp;A'!$AX:$AX,'Orçamento 2027 - G&amp;A'!$B:$B,Resumo!$B15,'Orçamento 2027 - G&amp;A'!$D:$D,Resumo!$C$2))</f>
        <v>0</v>
      </c>
      <c r="F15" s="29" t="str">
        <f t="shared" si="1"/>
        <v>OK</v>
      </c>
    </row>
    <row r="16" spans="2:6 16384:16384">
      <c r="B16" s="30" t="s">
        <v>73</v>
      </c>
      <c r="C16" s="28">
        <f>IF($C$2="TODOS",SUMIFS('Orçamento 2027 - G&amp;A'!$W:$W,'Orçamento 2027 - G&amp;A'!$B:$B,Resumo!$B16),SUMIFS('Orçamento 2027 - G&amp;A'!$W:$W,'Orçamento 2027 - G&amp;A'!$B:$B,Resumo!$B16,'Orçamento 2027 - G&amp;A'!$D:$D,Resumo!$C$2))</f>
        <v>0</v>
      </c>
      <c r="D16" s="28">
        <f>IF($C$2="TODOS",SUMIFS('Orçamento 2027 - G&amp;A'!$AK:$AK,'Orçamento 2027 - G&amp;A'!$B:$B,Resumo!$B16),SUMIFS('Orçamento 2027 - G&amp;A'!$AK:$AK,'Orçamento 2027 - G&amp;A'!$B:$B,Resumo!$B16,'Orçamento 2027 - G&amp;A'!$D:$D,Resumo!$C$2))</f>
        <v>0</v>
      </c>
      <c r="E16" s="29">
        <f>IF($C$2="TODOS",SUMIFS('Orçamento 2027 - G&amp;A'!$AX:$AX,'Orçamento 2027 - G&amp;A'!$B:$B,Resumo!$B16),SUMIFS('Orçamento 2027 - G&amp;A'!$AX:$AX,'Orçamento 2027 - G&amp;A'!$B:$B,Resumo!$B16,'Orçamento 2027 - G&amp;A'!$D:$D,Resumo!$C$2))</f>
        <v>0</v>
      </c>
      <c r="F16" s="29" t="str">
        <f t="shared" si="1"/>
        <v>OK</v>
      </c>
    </row>
    <row r="17" spans="2:6">
      <c r="B17" s="30" t="s">
        <v>78</v>
      </c>
      <c r="C17" s="28">
        <f>IF($C$2="TODOS",SUMIFS('Orçamento 2027 - G&amp;A'!$W:$W,'Orçamento 2027 - G&amp;A'!$B:$B,Resumo!$B17),SUMIFS('Orçamento 2027 - G&amp;A'!$W:$W,'Orçamento 2027 - G&amp;A'!$B:$B,Resumo!$B17,'Orçamento 2027 - G&amp;A'!$D:$D,Resumo!$C$2))</f>
        <v>0</v>
      </c>
      <c r="D17" s="28">
        <f>IF($C$2="TODOS",SUMIFS('Orçamento 2027 - G&amp;A'!$AK:$AK,'Orçamento 2027 - G&amp;A'!$B:$B,Resumo!$B17),SUMIFS('Orçamento 2027 - G&amp;A'!$AK:$AK,'Orçamento 2027 - G&amp;A'!$B:$B,Resumo!$B17,'Orçamento 2027 - G&amp;A'!$D:$D,Resumo!$C$2))</f>
        <v>0</v>
      </c>
      <c r="E17" s="29">
        <f>IF($C$2="TODOS",SUMIFS('Orçamento 2027 - G&amp;A'!$AX:$AX,'Orçamento 2027 - G&amp;A'!$B:$B,Resumo!$B17),SUMIFS('Orçamento 2027 - G&amp;A'!$AX:$AX,'Orçamento 2027 - G&amp;A'!$B:$B,Resumo!$B17,'Orçamento 2027 - G&amp;A'!$D:$D,Resumo!$C$2))</f>
        <v>0</v>
      </c>
      <c r="F17" s="29" t="str">
        <f t="shared" si="1"/>
        <v>OK</v>
      </c>
    </row>
    <row r="18" spans="2:6">
      <c r="B18" s="30" t="s">
        <v>83</v>
      </c>
      <c r="C18" s="28">
        <f>IF($C$2="TODOS",SUMIFS('Orçamento 2027 - G&amp;A'!$W:$W,'Orçamento 2027 - G&amp;A'!$B:$B,Resumo!$B18),SUMIFS('Orçamento 2027 - G&amp;A'!$W:$W,'Orçamento 2027 - G&amp;A'!$B:$B,Resumo!$B18,'Orçamento 2027 - G&amp;A'!$D:$D,Resumo!$C$2))</f>
        <v>0</v>
      </c>
      <c r="D18" s="28">
        <f>IF($C$2="TODOS",SUMIFS('Orçamento 2027 - G&amp;A'!$AK:$AK,'Orçamento 2027 - G&amp;A'!$B:$B,Resumo!$B18),SUMIFS('Orçamento 2027 - G&amp;A'!$AK:$AK,'Orçamento 2027 - G&amp;A'!$B:$B,Resumo!$B18,'Orçamento 2027 - G&amp;A'!$D:$D,Resumo!$C$2))</f>
        <v>0</v>
      </c>
      <c r="E18" s="29">
        <f>IF($C$2="TODOS",SUMIFS('Orçamento 2027 - G&amp;A'!$AX:$AX,'Orçamento 2027 - G&amp;A'!$B:$B,Resumo!$B18),SUMIFS('Orçamento 2027 - G&amp;A'!$AX:$AX,'Orçamento 2027 - G&amp;A'!$B:$B,Resumo!$B18,'Orçamento 2027 - G&amp;A'!$D:$D,Resumo!$C$2))</f>
        <v>0</v>
      </c>
      <c r="F18" s="29" t="str">
        <f t="shared" si="1"/>
        <v>OK</v>
      </c>
    </row>
    <row r="19" spans="2:6">
      <c r="B19" s="30" t="s">
        <v>89</v>
      </c>
      <c r="C19" s="28">
        <f>IF($C$2="TODOS",SUMIFS('Orçamento 2027 - G&amp;A'!$W:$W,'Orçamento 2027 - G&amp;A'!$B:$B,Resumo!$B19),SUMIFS('Orçamento 2027 - G&amp;A'!$W:$W,'Orçamento 2027 - G&amp;A'!$B:$B,Resumo!$B19,'Orçamento 2027 - G&amp;A'!$D:$D,Resumo!$C$2))</f>
        <v>0</v>
      </c>
      <c r="D19" s="28">
        <f>IF($C$2="TODOS",SUMIFS('Orçamento 2027 - G&amp;A'!$AK:$AK,'Orçamento 2027 - G&amp;A'!$B:$B,Resumo!$B19),SUMIFS('Orçamento 2027 - G&amp;A'!$AK:$AK,'Orçamento 2027 - G&amp;A'!$B:$B,Resumo!$B19,'Orçamento 2027 - G&amp;A'!$D:$D,Resumo!$C$2))</f>
        <v>0</v>
      </c>
      <c r="E19" s="29">
        <f>IF($C$2="TODOS",SUMIFS('Orçamento 2027 - G&amp;A'!$AX:$AX,'Orçamento 2027 - G&amp;A'!$B:$B,Resumo!$B19),SUMIFS('Orçamento 2027 - G&amp;A'!$AX:$AX,'Orçamento 2027 - G&amp;A'!$B:$B,Resumo!$B19,'Orçamento 2027 - G&amp;A'!$D:$D,Resumo!$C$2))</f>
        <v>0</v>
      </c>
      <c r="F19" s="29" t="str">
        <f t="shared" si="1"/>
        <v>OK</v>
      </c>
    </row>
    <row r="20" spans="2:6">
      <c r="B20" s="30" t="s">
        <v>93</v>
      </c>
      <c r="C20" s="28">
        <f>IF($C$2="TODOS",SUMIFS('Orçamento 2027 - G&amp;A'!$W:$W,'Orçamento 2027 - G&amp;A'!$B:$B,Resumo!$B20),SUMIFS('Orçamento 2027 - G&amp;A'!$W:$W,'Orçamento 2027 - G&amp;A'!$B:$B,Resumo!$B20,'Orçamento 2027 - G&amp;A'!$D:$D,Resumo!$C$2))</f>
        <v>0</v>
      </c>
      <c r="D20" s="28">
        <f>IF($C$2="TODOS",SUMIFS('Orçamento 2027 - G&amp;A'!$AK:$AK,'Orçamento 2027 - G&amp;A'!$B:$B,Resumo!$B20),SUMIFS('Orçamento 2027 - G&amp;A'!$AK:$AK,'Orçamento 2027 - G&amp;A'!$B:$B,Resumo!$B20,'Orçamento 2027 - G&amp;A'!$D:$D,Resumo!$C$2))</f>
        <v>0</v>
      </c>
      <c r="E20" s="29">
        <f>IF($C$2="TODOS",SUMIFS('Orçamento 2027 - G&amp;A'!$AX:$AX,'Orçamento 2027 - G&amp;A'!$B:$B,Resumo!$B20),SUMIFS('Orçamento 2027 - G&amp;A'!$AX:$AX,'Orçamento 2027 - G&amp;A'!$B:$B,Resumo!$B20,'Orçamento 2027 - G&amp;A'!$D:$D,Resumo!$C$2))</f>
        <v>0</v>
      </c>
      <c r="F20" s="29" t="str">
        <f t="shared" si="1"/>
        <v>OK</v>
      </c>
    </row>
    <row r="21" spans="2:6">
      <c r="B21" s="30" t="s">
        <v>99</v>
      </c>
      <c r="C21" s="28">
        <f>IF($C$2="TODOS",SUMIFS('Orçamento 2027 - G&amp;A'!$W:$W,'Orçamento 2027 - G&amp;A'!$B:$B,Resumo!$B21),SUMIFS('Orçamento 2027 - G&amp;A'!$W:$W,'Orçamento 2027 - G&amp;A'!$B:$B,Resumo!$B21,'Orçamento 2027 - G&amp;A'!$D:$D,Resumo!$C$2))</f>
        <v>0</v>
      </c>
      <c r="D21" s="28">
        <f>IF($C$2="TODOS",SUMIFS('Orçamento 2027 - G&amp;A'!$AK:$AK,'Orçamento 2027 - G&amp;A'!$B:$B,Resumo!$B21),SUMIFS('Orçamento 2027 - G&amp;A'!$AK:$AK,'Orçamento 2027 - G&amp;A'!$B:$B,Resumo!$B21,'Orçamento 2027 - G&amp;A'!$D:$D,Resumo!$C$2))</f>
        <v>0</v>
      </c>
      <c r="E21" s="29">
        <f>IF($C$2="TODOS",SUMIFS('Orçamento 2027 - G&amp;A'!$AX:$AX,'Orçamento 2027 - G&amp;A'!$B:$B,Resumo!$B21),SUMIFS('Orçamento 2027 - G&amp;A'!$AX:$AX,'Orçamento 2027 - G&amp;A'!$B:$B,Resumo!$B21,'Orçamento 2027 - G&amp;A'!$D:$D,Resumo!$C$2))</f>
        <v>0</v>
      </c>
      <c r="F21" s="29" t="str">
        <f t="shared" si="1"/>
        <v>OK</v>
      </c>
    </row>
    <row r="22" spans="2:6">
      <c r="B22" s="30" t="s">
        <v>104</v>
      </c>
      <c r="C22" s="28">
        <f>IF($C$2="TODOS",SUMIFS('Orçamento 2027 - G&amp;A'!$W:$W,'Orçamento 2027 - G&amp;A'!$B:$B,Resumo!$B22),SUMIFS('Orçamento 2027 - G&amp;A'!$W:$W,'Orçamento 2027 - G&amp;A'!$B:$B,Resumo!$B22,'Orçamento 2027 - G&amp;A'!$D:$D,Resumo!$C$2))</f>
        <v>0</v>
      </c>
      <c r="D22" s="28">
        <f>IF($C$2="TODOS",SUMIFS('Orçamento 2027 - G&amp;A'!$AK:$AK,'Orçamento 2027 - G&amp;A'!$B:$B,Resumo!$B22),SUMIFS('Orçamento 2027 - G&amp;A'!$AK:$AK,'Orçamento 2027 - G&amp;A'!$B:$B,Resumo!$B22,'Orçamento 2027 - G&amp;A'!$D:$D,Resumo!$C$2))</f>
        <v>0</v>
      </c>
      <c r="E22" s="29">
        <f>IF($C$2="TODOS",SUMIFS('Orçamento 2027 - G&amp;A'!$AX:$AX,'Orçamento 2027 - G&amp;A'!$B:$B,Resumo!$B22),SUMIFS('Orçamento 2027 - G&amp;A'!$AX:$AX,'Orçamento 2027 - G&amp;A'!$B:$B,Resumo!$B22,'Orçamento 2027 - G&amp;A'!$D:$D,Resumo!$C$2))</f>
        <v>0</v>
      </c>
      <c r="F22" s="29" t="str">
        <f t="shared" si="1"/>
        <v>OK</v>
      </c>
    </row>
    <row r="23" spans="2:6">
      <c r="B23" s="30" t="s">
        <v>109</v>
      </c>
      <c r="C23" s="28">
        <f>IF($C$2="TODOS",SUMIFS('Orçamento 2027 - G&amp;A'!$W:$W,'Orçamento 2027 - G&amp;A'!$B:$B,Resumo!$B23),SUMIFS('Orçamento 2027 - G&amp;A'!$W:$W,'Orçamento 2027 - G&amp;A'!$B:$B,Resumo!$B23,'Orçamento 2027 - G&amp;A'!$D:$D,Resumo!$C$2))</f>
        <v>0</v>
      </c>
      <c r="D23" s="28">
        <f>IF($C$2="TODOS",SUMIFS('Orçamento 2027 - G&amp;A'!$AK:$AK,'Orçamento 2027 - G&amp;A'!$B:$B,Resumo!$B23),SUMIFS('Orçamento 2027 - G&amp;A'!$AK:$AK,'Orçamento 2027 - G&amp;A'!$B:$B,Resumo!$B23,'Orçamento 2027 - G&amp;A'!$D:$D,Resumo!$C$2))</f>
        <v>0</v>
      </c>
      <c r="E23" s="29">
        <f>IF($C$2="TODOS",SUMIFS('Orçamento 2027 - G&amp;A'!$AX:$AX,'Orçamento 2027 - G&amp;A'!$B:$B,Resumo!$B23),SUMIFS('Orçamento 2027 - G&amp;A'!$AX:$AX,'Orçamento 2027 - G&amp;A'!$B:$B,Resumo!$B23,'Orçamento 2027 - G&amp;A'!$D:$D,Resumo!$C$2))</f>
        <v>0</v>
      </c>
      <c r="F23" s="29" t="str">
        <f t="shared" si="1"/>
        <v>OK</v>
      </c>
    </row>
    <row r="24" spans="2:6">
      <c r="B24" s="30" t="s">
        <v>113</v>
      </c>
      <c r="C24" s="28">
        <f>IF($C$2="TODOS",SUMIFS('Orçamento 2027 - G&amp;A'!$W:$W,'Orçamento 2027 - G&amp;A'!$B:$B,Resumo!$B24),SUMIFS('Orçamento 2027 - G&amp;A'!$W:$W,'Orçamento 2027 - G&amp;A'!$B:$B,Resumo!$B24,'Orçamento 2027 - G&amp;A'!$D:$D,Resumo!$C$2))</f>
        <v>0</v>
      </c>
      <c r="D24" s="28">
        <f>IF($C$2="TODOS",SUMIFS('Orçamento 2027 - G&amp;A'!$AK:$AK,'Orçamento 2027 - G&amp;A'!$B:$B,Resumo!$B24),SUMIFS('Orçamento 2027 - G&amp;A'!$AK:$AK,'Orçamento 2027 - G&amp;A'!$B:$B,Resumo!$B24,'Orçamento 2027 - G&amp;A'!$D:$D,Resumo!$C$2))</f>
        <v>0</v>
      </c>
      <c r="E24" s="29">
        <f>IF($C$2="TODOS",SUMIFS('Orçamento 2027 - G&amp;A'!$AX:$AX,'Orçamento 2027 - G&amp;A'!$B:$B,Resumo!$B24),SUMIFS('Orçamento 2027 - G&amp;A'!$AX:$AX,'Orçamento 2027 - G&amp;A'!$B:$B,Resumo!$B24,'Orçamento 2027 - G&amp;A'!$D:$D,Resumo!$C$2))</f>
        <v>0</v>
      </c>
      <c r="F24" s="29" t="str">
        <f t="shared" si="1"/>
        <v>OK</v>
      </c>
    </row>
    <row r="25" spans="2:6">
      <c r="B25" s="30" t="s">
        <v>115</v>
      </c>
      <c r="C25" s="28">
        <f>IF($C$2="TODOS",SUMIFS('Orçamento 2027 - G&amp;A'!$W:$W,'Orçamento 2027 - G&amp;A'!$B:$B,Resumo!$B25),SUMIFS('Orçamento 2027 - G&amp;A'!$W:$W,'Orçamento 2027 - G&amp;A'!$B:$B,Resumo!$B25,'Orçamento 2027 - G&amp;A'!$D:$D,Resumo!$C$2))</f>
        <v>0</v>
      </c>
      <c r="D25" s="28">
        <f>IF($C$2="TODOS",SUMIFS('Orçamento 2027 - G&amp;A'!$AK:$AK,'Orçamento 2027 - G&amp;A'!$B:$B,Resumo!$B25),SUMIFS('Orçamento 2027 - G&amp;A'!$AK:$AK,'Orçamento 2027 - G&amp;A'!$B:$B,Resumo!$B25,'Orçamento 2027 - G&amp;A'!$D:$D,Resumo!$C$2))</f>
        <v>0</v>
      </c>
      <c r="E25" s="29">
        <f>IF($C$2="TODOS",SUMIFS('Orçamento 2027 - G&amp;A'!$AX:$AX,'Orçamento 2027 - G&amp;A'!$B:$B,Resumo!$B25),SUMIFS('Orçamento 2027 - G&amp;A'!$AX:$AX,'Orçamento 2027 - G&amp;A'!$B:$B,Resumo!$B25,'Orçamento 2027 - G&amp;A'!$D:$D,Resumo!$C$2))</f>
        <v>0</v>
      </c>
      <c r="F25" s="29" t="str">
        <f t="shared" si="1"/>
        <v>OK</v>
      </c>
    </row>
    <row r="26" spans="2:6">
      <c r="B26" s="30" t="s">
        <v>118</v>
      </c>
      <c r="C26" s="28">
        <f>IF($C$2="TODOS",SUMIFS('Orçamento 2027 - G&amp;A'!$W:$W,'Orçamento 2027 - G&amp;A'!$B:$B,Resumo!$B26),SUMIFS('Orçamento 2027 - G&amp;A'!$W:$W,'Orçamento 2027 - G&amp;A'!$B:$B,Resumo!$B26,'Orçamento 2027 - G&amp;A'!$D:$D,Resumo!$C$2))</f>
        <v>0</v>
      </c>
      <c r="D26" s="28">
        <f>IF($C$2="TODOS",SUMIFS('Orçamento 2027 - G&amp;A'!$AK:$AK,'Orçamento 2027 - G&amp;A'!$B:$B,Resumo!$B26),SUMIFS('Orçamento 2027 - G&amp;A'!$AK:$AK,'Orçamento 2027 - G&amp;A'!$B:$B,Resumo!$B26,'Orçamento 2027 - G&amp;A'!$D:$D,Resumo!$C$2))</f>
        <v>0</v>
      </c>
      <c r="E26" s="29">
        <f>IF($C$2="TODOS",SUMIFS('Orçamento 2027 - G&amp;A'!$AX:$AX,'Orçamento 2027 - G&amp;A'!$B:$B,Resumo!$B26),SUMIFS('Orçamento 2027 - G&amp;A'!$AX:$AX,'Orçamento 2027 - G&amp;A'!$B:$B,Resumo!$B26,'Orçamento 2027 - G&amp;A'!$D:$D,Resumo!$C$2))</f>
        <v>0</v>
      </c>
      <c r="F26" s="29" t="str">
        <f t="shared" si="1"/>
        <v>OK</v>
      </c>
    </row>
    <row r="27" spans="2:6">
      <c r="B27" s="30" t="s">
        <v>120</v>
      </c>
      <c r="C27" s="28">
        <f>IF($C$2="TODOS",SUMIFS('Orçamento 2027 - G&amp;A'!$W:$W,'Orçamento 2027 - G&amp;A'!$B:$B,Resumo!$B27),SUMIFS('Orçamento 2027 - G&amp;A'!$W:$W,'Orçamento 2027 - G&amp;A'!$B:$B,Resumo!$B27,'Orçamento 2027 - G&amp;A'!$D:$D,Resumo!$C$2))</f>
        <v>0</v>
      </c>
      <c r="D27" s="28">
        <f>IF($C$2="TODOS",SUMIFS('Orçamento 2027 - G&amp;A'!$AK:$AK,'Orçamento 2027 - G&amp;A'!$B:$B,Resumo!$B27),SUMIFS('Orçamento 2027 - G&amp;A'!$AK:$AK,'Orçamento 2027 - G&amp;A'!$B:$B,Resumo!$B27,'Orçamento 2027 - G&amp;A'!$D:$D,Resumo!$C$2))</f>
        <v>0</v>
      </c>
      <c r="E27" s="29">
        <f>IF($C$2="TODOS",SUMIFS('Orçamento 2027 - G&amp;A'!$AX:$AX,'Orçamento 2027 - G&amp;A'!$B:$B,Resumo!$B27),SUMIFS('Orçamento 2027 - G&amp;A'!$AX:$AX,'Orçamento 2027 - G&amp;A'!$B:$B,Resumo!$B27,'Orçamento 2027 - G&amp;A'!$D:$D,Resumo!$C$2))</f>
        <v>0</v>
      </c>
      <c r="F27" s="29" t="str">
        <f t="shared" si="1"/>
        <v>OK</v>
      </c>
    </row>
    <row r="28" spans="2:6">
      <c r="B28" s="30" t="s">
        <v>123</v>
      </c>
      <c r="C28" s="28">
        <f>IF($C$2="TODOS",SUMIFS('Orçamento 2027 - G&amp;A'!$W:$W,'Orçamento 2027 - G&amp;A'!$B:$B,Resumo!$B28),SUMIFS('Orçamento 2027 - G&amp;A'!$W:$W,'Orçamento 2027 - G&amp;A'!$B:$B,Resumo!$B28,'Orçamento 2027 - G&amp;A'!$D:$D,Resumo!$C$2))</f>
        <v>0</v>
      </c>
      <c r="D28" s="28">
        <f>IF($C$2="TODOS",SUMIFS('Orçamento 2027 - G&amp;A'!$AK:$AK,'Orçamento 2027 - G&amp;A'!$B:$B,Resumo!$B28),SUMIFS('Orçamento 2027 - G&amp;A'!$AK:$AK,'Orçamento 2027 - G&amp;A'!$B:$B,Resumo!$B28,'Orçamento 2027 - G&amp;A'!$D:$D,Resumo!$C$2))</f>
        <v>0</v>
      </c>
      <c r="E28" s="29">
        <f>IF($C$2="TODOS",SUMIFS('Orçamento 2027 - G&amp;A'!$AX:$AX,'Orçamento 2027 - G&amp;A'!$B:$B,Resumo!$B28),SUMIFS('Orçamento 2027 - G&amp;A'!$AX:$AX,'Orçamento 2027 - G&amp;A'!$B:$B,Resumo!$B28,'Orçamento 2027 - G&amp;A'!$D:$D,Resumo!$C$2))</f>
        <v>0</v>
      </c>
      <c r="F28" s="29" t="str">
        <f t="shared" si="1"/>
        <v>OK</v>
      </c>
    </row>
    <row r="29" spans="2:6">
      <c r="B29" s="30" t="s">
        <v>127</v>
      </c>
      <c r="C29" s="28">
        <f>IF($C$2="TODOS",SUMIFS('Orçamento 2027 - G&amp;A'!$W:$W,'Orçamento 2027 - G&amp;A'!$B:$B,Resumo!$B29),SUMIFS('Orçamento 2027 - G&amp;A'!$W:$W,'Orçamento 2027 - G&amp;A'!$B:$B,Resumo!$B29,'Orçamento 2027 - G&amp;A'!$D:$D,Resumo!$C$2))</f>
        <v>0</v>
      </c>
      <c r="D29" s="28">
        <f>IF($C$2="TODOS",SUMIFS('Orçamento 2027 - G&amp;A'!$AK:$AK,'Orçamento 2027 - G&amp;A'!$B:$B,Resumo!$B29),SUMIFS('Orçamento 2027 - G&amp;A'!$AK:$AK,'Orçamento 2027 - G&amp;A'!$B:$B,Resumo!$B29,'Orçamento 2027 - G&amp;A'!$D:$D,Resumo!$C$2))</f>
        <v>0</v>
      </c>
      <c r="E29" s="29">
        <f>IF($C$2="TODOS",SUMIFS('Orçamento 2027 - G&amp;A'!$AX:$AX,'Orçamento 2027 - G&amp;A'!$B:$B,Resumo!$B29),SUMIFS('Orçamento 2027 - G&amp;A'!$AX:$AX,'Orçamento 2027 - G&amp;A'!$B:$B,Resumo!$B29,'Orçamento 2027 - G&amp;A'!$D:$D,Resumo!$C$2))</f>
        <v>0</v>
      </c>
      <c r="F29" s="29" t="str">
        <f t="shared" si="1"/>
        <v>OK</v>
      </c>
    </row>
    <row r="30" spans="2:6">
      <c r="B30" s="30" t="s">
        <v>130</v>
      </c>
      <c r="C30" s="28">
        <f>IF($C$2="TODOS",SUMIFS('Orçamento 2027 - G&amp;A'!$W:$W,'Orçamento 2027 - G&amp;A'!$B:$B,Resumo!$B30),SUMIFS('Orçamento 2027 - G&amp;A'!$W:$W,'Orçamento 2027 - G&amp;A'!$B:$B,Resumo!$B30,'Orçamento 2027 - G&amp;A'!$D:$D,Resumo!$C$2))</f>
        <v>0</v>
      </c>
      <c r="D30" s="28">
        <f>IF($C$2="TODOS",SUMIFS('Orçamento 2027 - G&amp;A'!$AK:$AK,'Orçamento 2027 - G&amp;A'!$B:$B,Resumo!$B30),SUMIFS('Orçamento 2027 - G&amp;A'!$AK:$AK,'Orçamento 2027 - G&amp;A'!$B:$B,Resumo!$B30,'Orçamento 2027 - G&amp;A'!$D:$D,Resumo!$C$2))</f>
        <v>0</v>
      </c>
      <c r="E30" s="29">
        <f>IF($C$2="TODOS",SUMIFS('Orçamento 2027 - G&amp;A'!$AX:$AX,'Orçamento 2027 - G&amp;A'!$B:$B,Resumo!$B30),SUMIFS('Orçamento 2027 - G&amp;A'!$AX:$AX,'Orçamento 2027 - G&amp;A'!$B:$B,Resumo!$B30,'Orçamento 2027 - G&amp;A'!$D:$D,Resumo!$C$2))</f>
        <v>0</v>
      </c>
      <c r="F30" s="29" t="str">
        <f t="shared" si="1"/>
        <v>OK</v>
      </c>
    </row>
    <row r="31" spans="2:6">
      <c r="B31" s="30" t="s">
        <v>133</v>
      </c>
      <c r="C31" s="28">
        <f>IF($C$2="TODOS",SUMIFS('Orçamento 2027 - G&amp;A'!$W:$W,'Orçamento 2027 - G&amp;A'!$B:$B,Resumo!$B31),SUMIFS('Orçamento 2027 - G&amp;A'!$W:$W,'Orçamento 2027 - G&amp;A'!$B:$B,Resumo!$B31,'Orçamento 2027 - G&amp;A'!$D:$D,Resumo!$C$2))</f>
        <v>0</v>
      </c>
      <c r="D31" s="28">
        <f>IF($C$2="TODOS",SUMIFS('Orçamento 2027 - G&amp;A'!$AK:$AK,'Orçamento 2027 - G&amp;A'!$B:$B,Resumo!$B31),SUMIFS('Orçamento 2027 - G&amp;A'!$AK:$AK,'Orçamento 2027 - G&amp;A'!$B:$B,Resumo!$B31,'Orçamento 2027 - G&amp;A'!$D:$D,Resumo!$C$2))</f>
        <v>0</v>
      </c>
      <c r="E31" s="29">
        <f>IF($C$2="TODOS",SUMIFS('Orçamento 2027 - G&amp;A'!$AX:$AX,'Orçamento 2027 - G&amp;A'!$B:$B,Resumo!$B31),SUMIFS('Orçamento 2027 - G&amp;A'!$AX:$AX,'Orçamento 2027 - G&amp;A'!$B:$B,Resumo!$B31,'Orçamento 2027 - G&amp;A'!$D:$D,Resumo!$C$2))</f>
        <v>0</v>
      </c>
      <c r="F31" s="29" t="str">
        <f t="shared" si="1"/>
        <v>OK</v>
      </c>
    </row>
    <row r="32" spans="2:6">
      <c r="B32" s="30" t="s">
        <v>136</v>
      </c>
      <c r="C32" s="28">
        <f>IF($C$2="TODOS",SUMIFS('Orçamento 2027 - G&amp;A'!$W:$W,'Orçamento 2027 - G&amp;A'!$B:$B,Resumo!$B32),SUMIFS('Orçamento 2027 - G&amp;A'!$W:$W,'Orçamento 2027 - G&amp;A'!$B:$B,Resumo!$B32,'Orçamento 2027 - G&amp;A'!$D:$D,Resumo!$C$2))</f>
        <v>0</v>
      </c>
      <c r="D32" s="28">
        <f>IF($C$2="TODOS",SUMIFS('Orçamento 2027 - G&amp;A'!$AK:$AK,'Orçamento 2027 - G&amp;A'!$B:$B,Resumo!$B32),SUMIFS('Orçamento 2027 - G&amp;A'!$AK:$AK,'Orçamento 2027 - G&amp;A'!$B:$B,Resumo!$B32,'Orçamento 2027 - G&amp;A'!$D:$D,Resumo!$C$2))</f>
        <v>0</v>
      </c>
      <c r="E32" s="29">
        <f>IF($C$2="TODOS",SUMIFS('Orçamento 2027 - G&amp;A'!$AX:$AX,'Orçamento 2027 - G&amp;A'!$B:$B,Resumo!$B32),SUMIFS('Orçamento 2027 - G&amp;A'!$AX:$AX,'Orçamento 2027 - G&amp;A'!$B:$B,Resumo!$B32,'Orçamento 2027 - G&amp;A'!$D:$D,Resumo!$C$2))</f>
        <v>0</v>
      </c>
      <c r="F32" s="29" t="str">
        <f t="shared" si="1"/>
        <v>OK</v>
      </c>
    </row>
    <row r="33" spans="2:6">
      <c r="B33" s="30" t="s">
        <v>139</v>
      </c>
      <c r="C33" s="28">
        <f>IF($C$2="TODOS",SUMIFS('Orçamento 2027 - G&amp;A'!$W:$W,'Orçamento 2027 - G&amp;A'!$B:$B,Resumo!$B33),SUMIFS('Orçamento 2027 - G&amp;A'!$W:$W,'Orçamento 2027 - G&amp;A'!$B:$B,Resumo!$B33,'Orçamento 2027 - G&amp;A'!$D:$D,Resumo!$C$2))</f>
        <v>0</v>
      </c>
      <c r="D33" s="28">
        <f>IF($C$2="TODOS",SUMIFS('Orçamento 2027 - G&amp;A'!$AK:$AK,'Orçamento 2027 - G&amp;A'!$B:$B,Resumo!$B33),SUMIFS('Orçamento 2027 - G&amp;A'!$AK:$AK,'Orçamento 2027 - G&amp;A'!$B:$B,Resumo!$B33,'Orçamento 2027 - G&amp;A'!$D:$D,Resumo!$C$2))</f>
        <v>0</v>
      </c>
      <c r="E33" s="29">
        <f>IF($C$2="TODOS",SUMIFS('Orçamento 2027 - G&amp;A'!$AX:$AX,'Orçamento 2027 - G&amp;A'!$B:$B,Resumo!$B33),SUMIFS('Orçamento 2027 - G&amp;A'!$AX:$AX,'Orçamento 2027 - G&amp;A'!$B:$B,Resumo!$B33,'Orçamento 2027 - G&amp;A'!$D:$D,Resumo!$C$2))</f>
        <v>0</v>
      </c>
      <c r="F33" s="29" t="str">
        <f t="shared" si="1"/>
        <v>OK</v>
      </c>
    </row>
    <row r="34" spans="2:6">
      <c r="B34" s="30" t="s">
        <v>142</v>
      </c>
      <c r="C34" s="28">
        <f>IF($C$2="TODOS",SUMIFS('Orçamento 2027 - G&amp;A'!$W:$W,'Orçamento 2027 - G&amp;A'!$B:$B,Resumo!$B34),SUMIFS('Orçamento 2027 - G&amp;A'!$W:$W,'Orçamento 2027 - G&amp;A'!$B:$B,Resumo!$B34,'Orçamento 2027 - G&amp;A'!$D:$D,Resumo!$C$2))</f>
        <v>0</v>
      </c>
      <c r="D34" s="28">
        <f>IF($C$2="TODOS",SUMIFS('Orçamento 2027 - G&amp;A'!$AK:$AK,'Orçamento 2027 - G&amp;A'!$B:$B,Resumo!$B34),SUMIFS('Orçamento 2027 - G&amp;A'!$AK:$AK,'Orçamento 2027 - G&amp;A'!$B:$B,Resumo!$B34,'Orçamento 2027 - G&amp;A'!$D:$D,Resumo!$C$2))</f>
        <v>0</v>
      </c>
      <c r="E34" s="29">
        <f>IF($C$2="TODOS",SUMIFS('Orçamento 2027 - G&amp;A'!$AX:$AX,'Orçamento 2027 - G&amp;A'!$B:$B,Resumo!$B34),SUMIFS('Orçamento 2027 - G&amp;A'!$AX:$AX,'Orçamento 2027 - G&amp;A'!$B:$B,Resumo!$B34,'Orçamento 2027 - G&amp;A'!$D:$D,Resumo!$C$2))</f>
        <v>0</v>
      </c>
      <c r="F34" s="29" t="str">
        <f t="shared" si="1"/>
        <v>OK</v>
      </c>
    </row>
    <row r="35" spans="2:6">
      <c r="B35" s="30" t="s">
        <v>145</v>
      </c>
      <c r="C35" s="28">
        <f>IF($C$2="TODOS",SUMIFS('Orçamento 2027 - G&amp;A'!$W:$W,'Orçamento 2027 - G&amp;A'!$B:$B,Resumo!$B35),SUMIFS('Orçamento 2027 - G&amp;A'!$W:$W,'Orçamento 2027 - G&amp;A'!$B:$B,Resumo!$B35,'Orçamento 2027 - G&amp;A'!$D:$D,Resumo!$C$2))</f>
        <v>0</v>
      </c>
      <c r="D35" s="28">
        <f>IF($C$2="TODOS",SUMIFS('Orçamento 2027 - G&amp;A'!$AK:$AK,'Orçamento 2027 - G&amp;A'!$B:$B,Resumo!$B35),SUMIFS('Orçamento 2027 - G&amp;A'!$AK:$AK,'Orçamento 2027 - G&amp;A'!$B:$B,Resumo!$B35,'Orçamento 2027 - G&amp;A'!$D:$D,Resumo!$C$2))</f>
        <v>0</v>
      </c>
      <c r="E35" s="29">
        <f>IF($C$2="TODOS",SUMIFS('Orçamento 2027 - G&amp;A'!$AX:$AX,'Orçamento 2027 - G&amp;A'!$B:$B,Resumo!$B35),SUMIFS('Orçamento 2027 - G&amp;A'!$AX:$AX,'Orçamento 2027 - G&amp;A'!$B:$B,Resumo!$B35,'Orçamento 2027 - G&amp;A'!$D:$D,Resumo!$C$2))</f>
        <v>0</v>
      </c>
      <c r="F35" s="29" t="str">
        <f t="shared" si="1"/>
        <v>OK</v>
      </c>
    </row>
    <row r="36" spans="2:6">
      <c r="B36" s="30" t="s">
        <v>148</v>
      </c>
      <c r="C36" s="28">
        <f>IF($C$2="TODOS",SUMIFS('Orçamento 2027 - G&amp;A'!$W:$W,'Orçamento 2027 - G&amp;A'!$B:$B,Resumo!$B36),SUMIFS('Orçamento 2027 - G&amp;A'!$W:$W,'Orçamento 2027 - G&amp;A'!$B:$B,Resumo!$B36,'Orçamento 2027 - G&amp;A'!$D:$D,Resumo!$C$2))</f>
        <v>0</v>
      </c>
      <c r="D36" s="28">
        <f>IF($C$2="TODOS",SUMIFS('Orçamento 2027 - G&amp;A'!$AK:$AK,'Orçamento 2027 - G&amp;A'!$B:$B,Resumo!$B36),SUMIFS('Orçamento 2027 - G&amp;A'!$AK:$AK,'Orçamento 2027 - G&amp;A'!$B:$B,Resumo!$B36,'Orçamento 2027 - G&amp;A'!$D:$D,Resumo!$C$2))</f>
        <v>0</v>
      </c>
      <c r="E36" s="29">
        <f>IF($C$2="TODOS",SUMIFS('Orçamento 2027 - G&amp;A'!$AX:$AX,'Orçamento 2027 - G&amp;A'!$B:$B,Resumo!$B36),SUMIFS('Orçamento 2027 - G&amp;A'!$AX:$AX,'Orçamento 2027 - G&amp;A'!$B:$B,Resumo!$B36,'Orçamento 2027 - G&amp;A'!$D:$D,Resumo!$C$2))</f>
        <v>0</v>
      </c>
      <c r="F36" s="29" t="str">
        <f t="shared" si="1"/>
        <v>OK</v>
      </c>
    </row>
    <row r="37" spans="2:6">
      <c r="B37" s="30" t="s">
        <v>151</v>
      </c>
      <c r="C37" s="28">
        <f>IF($C$2="TODOS",SUMIFS('Orçamento 2027 - G&amp;A'!$W:$W,'Orçamento 2027 - G&amp;A'!$B:$B,Resumo!$B37),SUMIFS('Orçamento 2027 - G&amp;A'!$W:$W,'Orçamento 2027 - G&amp;A'!$B:$B,Resumo!$B37,'Orçamento 2027 - G&amp;A'!$D:$D,Resumo!$C$2))</f>
        <v>0</v>
      </c>
      <c r="D37" s="28">
        <f>IF($C$2="TODOS",SUMIFS('Orçamento 2027 - G&amp;A'!$AK:$AK,'Orçamento 2027 - G&amp;A'!$B:$B,Resumo!$B37),SUMIFS('Orçamento 2027 - G&amp;A'!$AK:$AK,'Orçamento 2027 - G&amp;A'!$B:$B,Resumo!$B37,'Orçamento 2027 - G&amp;A'!$D:$D,Resumo!$C$2))</f>
        <v>0</v>
      </c>
      <c r="E37" s="29">
        <f>IF($C$2="TODOS",SUMIFS('Orçamento 2027 - G&amp;A'!$AX:$AX,'Orçamento 2027 - G&amp;A'!$B:$B,Resumo!$B37),SUMIFS('Orçamento 2027 - G&amp;A'!$AX:$AX,'Orçamento 2027 - G&amp;A'!$B:$B,Resumo!$B37,'Orçamento 2027 - G&amp;A'!$D:$D,Resumo!$C$2))</f>
        <v>0</v>
      </c>
      <c r="F37" s="29" t="str">
        <f t="shared" si="1"/>
        <v>OK</v>
      </c>
    </row>
    <row r="38" spans="2:6">
      <c r="B38" s="30" t="s">
        <v>154</v>
      </c>
      <c r="C38" s="28">
        <f>IF($C$2="TODOS",SUMIFS('Orçamento 2027 - G&amp;A'!$W:$W,'Orçamento 2027 - G&amp;A'!$B:$B,Resumo!$B38),SUMIFS('Orçamento 2027 - G&amp;A'!$W:$W,'Orçamento 2027 - G&amp;A'!$B:$B,Resumo!$B38,'Orçamento 2027 - G&amp;A'!$D:$D,Resumo!$C$2))</f>
        <v>0</v>
      </c>
      <c r="D38" s="28">
        <f>IF($C$2="TODOS",SUMIFS('Orçamento 2027 - G&amp;A'!$AK:$AK,'Orçamento 2027 - G&amp;A'!$B:$B,Resumo!$B38),SUMIFS('Orçamento 2027 - G&amp;A'!$AK:$AK,'Orçamento 2027 - G&amp;A'!$B:$B,Resumo!$B38,'Orçamento 2027 - G&amp;A'!$D:$D,Resumo!$C$2))</f>
        <v>0</v>
      </c>
      <c r="E38" s="29">
        <f>IF($C$2="TODOS",SUMIFS('Orçamento 2027 - G&amp;A'!$AX:$AX,'Orçamento 2027 - G&amp;A'!$B:$B,Resumo!$B38),SUMIFS('Orçamento 2027 - G&amp;A'!$AX:$AX,'Orçamento 2027 - G&amp;A'!$B:$B,Resumo!$B38,'Orçamento 2027 - G&amp;A'!$D:$D,Resumo!$C$2))</f>
        <v>0</v>
      </c>
      <c r="F38" s="29" t="str">
        <f t="shared" si="1"/>
        <v>OK</v>
      </c>
    </row>
    <row r="39" spans="2:6">
      <c r="B39" s="30" t="s">
        <v>157</v>
      </c>
      <c r="C39" s="28">
        <f>IF($C$2="TODOS",SUMIFS('Orçamento 2027 - G&amp;A'!$W:$W,'Orçamento 2027 - G&amp;A'!$B:$B,Resumo!$B39),SUMIFS('Orçamento 2027 - G&amp;A'!$W:$W,'Orçamento 2027 - G&amp;A'!$B:$B,Resumo!$B39,'Orçamento 2027 - G&amp;A'!$D:$D,Resumo!$C$2))</f>
        <v>0</v>
      </c>
      <c r="D39" s="28">
        <f>IF($C$2="TODOS",SUMIFS('Orçamento 2027 - G&amp;A'!$AK:$AK,'Orçamento 2027 - G&amp;A'!$B:$B,Resumo!$B39),SUMIFS('Orçamento 2027 - G&amp;A'!$AK:$AK,'Orçamento 2027 - G&amp;A'!$B:$B,Resumo!$B39,'Orçamento 2027 - G&amp;A'!$D:$D,Resumo!$C$2))</f>
        <v>0</v>
      </c>
      <c r="E39" s="29">
        <f>IF($C$2="TODOS",SUMIFS('Orçamento 2027 - G&amp;A'!$AX:$AX,'Orçamento 2027 - G&amp;A'!$B:$B,Resumo!$B39),SUMIFS('Orçamento 2027 - G&amp;A'!$AX:$AX,'Orçamento 2027 - G&amp;A'!$B:$B,Resumo!$B39,'Orçamento 2027 - G&amp;A'!$D:$D,Resumo!$C$2))</f>
        <v>0</v>
      </c>
      <c r="F39" s="29" t="str">
        <f t="shared" si="1"/>
        <v>OK</v>
      </c>
    </row>
    <row r="40" spans="2:6">
      <c r="B40" s="30" t="s">
        <v>160</v>
      </c>
      <c r="C40" s="28">
        <f>IF($C$2="TODOS",SUMIFS('Orçamento 2027 - G&amp;A'!$W:$W,'Orçamento 2027 - G&amp;A'!$B:$B,Resumo!$B40),SUMIFS('Orçamento 2027 - G&amp;A'!$W:$W,'Orçamento 2027 - G&amp;A'!$B:$B,Resumo!$B40,'Orçamento 2027 - G&amp;A'!$D:$D,Resumo!$C$2))</f>
        <v>0</v>
      </c>
      <c r="D40" s="28">
        <f>IF($C$2="TODOS",SUMIFS('Orçamento 2027 - G&amp;A'!$AK:$AK,'Orçamento 2027 - G&amp;A'!$B:$B,Resumo!$B40),SUMIFS('Orçamento 2027 - G&amp;A'!$AK:$AK,'Orçamento 2027 - G&amp;A'!$B:$B,Resumo!$B40,'Orçamento 2027 - G&amp;A'!$D:$D,Resumo!$C$2))</f>
        <v>0</v>
      </c>
      <c r="E40" s="29">
        <f>IF($C$2="TODOS",SUMIFS('Orçamento 2027 - G&amp;A'!$AX:$AX,'Orçamento 2027 - G&amp;A'!$B:$B,Resumo!$B40),SUMIFS('Orçamento 2027 - G&amp;A'!$AX:$AX,'Orçamento 2027 - G&amp;A'!$B:$B,Resumo!$B40,'Orçamento 2027 - G&amp;A'!$D:$D,Resumo!$C$2))</f>
        <v>0</v>
      </c>
      <c r="F40" s="29" t="str">
        <f t="shared" si="1"/>
        <v>OK</v>
      </c>
    </row>
    <row r="41" spans="2:6">
      <c r="B41" s="30" t="s">
        <v>163</v>
      </c>
      <c r="C41" s="28">
        <f>IF($C$2="TODOS",SUMIFS('Orçamento 2027 - G&amp;A'!$W:$W,'Orçamento 2027 - G&amp;A'!$B:$B,Resumo!$B41),SUMIFS('Orçamento 2027 - G&amp;A'!$W:$W,'Orçamento 2027 - G&amp;A'!$B:$B,Resumo!$B41,'Orçamento 2027 - G&amp;A'!$D:$D,Resumo!$C$2))</f>
        <v>0</v>
      </c>
      <c r="D41" s="28">
        <f>IF($C$2="TODOS",SUMIFS('Orçamento 2027 - G&amp;A'!$AK:$AK,'Orçamento 2027 - G&amp;A'!$B:$B,Resumo!$B41),SUMIFS('Orçamento 2027 - G&amp;A'!$AK:$AK,'Orçamento 2027 - G&amp;A'!$B:$B,Resumo!$B41,'Orçamento 2027 - G&amp;A'!$D:$D,Resumo!$C$2))</f>
        <v>0</v>
      </c>
      <c r="E41" s="29">
        <f>IF($C$2="TODOS",SUMIFS('Orçamento 2027 - G&amp;A'!$AX:$AX,'Orçamento 2027 - G&amp;A'!$B:$B,Resumo!$B41),SUMIFS('Orçamento 2027 - G&amp;A'!$AX:$AX,'Orçamento 2027 - G&amp;A'!$B:$B,Resumo!$B41,'Orçamento 2027 - G&amp;A'!$D:$D,Resumo!$C$2))</f>
        <v>0</v>
      </c>
      <c r="F41" s="29" t="str">
        <f t="shared" si="1"/>
        <v>OK</v>
      </c>
    </row>
    <row r="42" spans="2:6">
      <c r="B42" s="30" t="s">
        <v>165</v>
      </c>
      <c r="C42" s="28">
        <f>IF($C$2="TODOS",SUMIFS('Orçamento 2027 - G&amp;A'!$W:$W,'Orçamento 2027 - G&amp;A'!$B:$B,Resumo!$B42),SUMIFS('Orçamento 2027 - G&amp;A'!$W:$W,'Orçamento 2027 - G&amp;A'!$B:$B,Resumo!$B42,'Orçamento 2027 - G&amp;A'!$D:$D,Resumo!$C$2))</f>
        <v>0</v>
      </c>
      <c r="D42" s="28">
        <f>IF($C$2="TODOS",SUMIFS('Orçamento 2027 - G&amp;A'!$AK:$AK,'Orçamento 2027 - G&amp;A'!$B:$B,Resumo!$B42),SUMIFS('Orçamento 2027 - G&amp;A'!$AK:$AK,'Orçamento 2027 - G&amp;A'!$B:$B,Resumo!$B42,'Orçamento 2027 - G&amp;A'!$D:$D,Resumo!$C$2))</f>
        <v>0</v>
      </c>
      <c r="E42" s="29">
        <f>IF($C$2="TODOS",SUMIFS('Orçamento 2027 - G&amp;A'!$AX:$AX,'Orçamento 2027 - G&amp;A'!$B:$B,Resumo!$B42),SUMIFS('Orçamento 2027 - G&amp;A'!$AX:$AX,'Orçamento 2027 - G&amp;A'!$B:$B,Resumo!$B42,'Orçamento 2027 - G&amp;A'!$D:$D,Resumo!$C$2))</f>
        <v>0</v>
      </c>
      <c r="F42" s="29" t="str">
        <f t="shared" si="1"/>
        <v>OK</v>
      </c>
    </row>
    <row r="43" spans="2:6">
      <c r="B43" s="30" t="s">
        <v>168</v>
      </c>
      <c r="C43" s="28">
        <f>IF($C$2="TODOS",SUMIFS('Orçamento 2027 - G&amp;A'!$W:$W,'Orçamento 2027 - G&amp;A'!$B:$B,Resumo!$B43),SUMIFS('Orçamento 2027 - G&amp;A'!$W:$W,'Orçamento 2027 - G&amp;A'!$B:$B,Resumo!$B43,'Orçamento 2027 - G&amp;A'!$D:$D,Resumo!$C$2))</f>
        <v>0</v>
      </c>
      <c r="D43" s="28">
        <f>IF($C$2="TODOS",SUMIFS('Orçamento 2027 - G&amp;A'!$AK:$AK,'Orçamento 2027 - G&amp;A'!$B:$B,Resumo!$B43),SUMIFS('Orçamento 2027 - G&amp;A'!$AK:$AK,'Orçamento 2027 - G&amp;A'!$B:$B,Resumo!$B43,'Orçamento 2027 - G&amp;A'!$D:$D,Resumo!$C$2))</f>
        <v>0</v>
      </c>
      <c r="E43" s="29">
        <f>IF($C$2="TODOS",SUMIFS('Orçamento 2027 - G&amp;A'!$AX:$AX,'Orçamento 2027 - G&amp;A'!$B:$B,Resumo!$B43),SUMIFS('Orçamento 2027 - G&amp;A'!$AX:$AX,'Orçamento 2027 - G&amp;A'!$B:$B,Resumo!$B43,'Orçamento 2027 - G&amp;A'!$D:$D,Resumo!$C$2))</f>
        <v>0</v>
      </c>
      <c r="F43" s="29" t="str">
        <f t="shared" si="1"/>
        <v>OK</v>
      </c>
    </row>
    <row r="44" spans="2:6">
      <c r="B44" s="30" t="s">
        <v>171</v>
      </c>
      <c r="C44" s="28">
        <f>IF($C$2="TODOS",SUMIFS('Orçamento 2027 - G&amp;A'!$W:$W,'Orçamento 2027 - G&amp;A'!$B:$B,Resumo!$B44),SUMIFS('Orçamento 2027 - G&amp;A'!$W:$W,'Orçamento 2027 - G&amp;A'!$B:$B,Resumo!$B44,'Orçamento 2027 - G&amp;A'!$D:$D,Resumo!$C$2))</f>
        <v>0</v>
      </c>
      <c r="D44" s="28">
        <f>IF($C$2="TODOS",SUMIFS('Orçamento 2027 - G&amp;A'!$AK:$AK,'Orçamento 2027 - G&amp;A'!$B:$B,Resumo!$B44),SUMIFS('Orçamento 2027 - G&amp;A'!$AK:$AK,'Orçamento 2027 - G&amp;A'!$B:$B,Resumo!$B44,'Orçamento 2027 - G&amp;A'!$D:$D,Resumo!$C$2))</f>
        <v>0</v>
      </c>
      <c r="E44" s="29">
        <f>IF($C$2="TODOS",SUMIFS('Orçamento 2027 - G&amp;A'!$AX:$AX,'Orçamento 2027 - G&amp;A'!$B:$B,Resumo!$B44),SUMIFS('Orçamento 2027 - G&amp;A'!$AX:$AX,'Orçamento 2027 - G&amp;A'!$B:$B,Resumo!$B44,'Orçamento 2027 - G&amp;A'!$D:$D,Resumo!$C$2))</f>
        <v>0</v>
      </c>
      <c r="F44" s="29" t="str">
        <f t="shared" si="1"/>
        <v>OK</v>
      </c>
    </row>
    <row r="45" spans="2:6">
      <c r="B45" s="30" t="s">
        <v>174</v>
      </c>
      <c r="C45" s="28">
        <f>IF($C$2="TODOS",SUMIFS('Orçamento 2027 - G&amp;A'!$W:$W,'Orçamento 2027 - G&amp;A'!$B:$B,Resumo!$B45),SUMIFS('Orçamento 2027 - G&amp;A'!$W:$W,'Orçamento 2027 - G&amp;A'!$B:$B,Resumo!$B45,'Orçamento 2027 - G&amp;A'!$D:$D,Resumo!$C$2))</f>
        <v>0</v>
      </c>
      <c r="D45" s="28">
        <f>IF($C$2="TODOS",SUMIFS('Orçamento 2027 - G&amp;A'!$AK:$AK,'Orçamento 2027 - G&amp;A'!$B:$B,Resumo!$B45),SUMIFS('Orçamento 2027 - G&amp;A'!$AK:$AK,'Orçamento 2027 - G&amp;A'!$B:$B,Resumo!$B45,'Orçamento 2027 - G&amp;A'!$D:$D,Resumo!$C$2))</f>
        <v>0</v>
      </c>
      <c r="E45" s="29">
        <f>IF($C$2="TODOS",SUMIFS('Orçamento 2027 - G&amp;A'!$AX:$AX,'Orçamento 2027 - G&amp;A'!$B:$B,Resumo!$B45),SUMIFS('Orçamento 2027 - G&amp;A'!$AX:$AX,'Orçamento 2027 - G&amp;A'!$B:$B,Resumo!$B45,'Orçamento 2027 - G&amp;A'!$D:$D,Resumo!$C$2))</f>
        <v>0</v>
      </c>
      <c r="F45" s="29" t="str">
        <f t="shared" si="1"/>
        <v>OK</v>
      </c>
    </row>
    <row r="46" spans="2:6">
      <c r="B46" s="30" t="s">
        <v>177</v>
      </c>
      <c r="C46" s="28">
        <f>IF($C$2="TODOS",SUMIFS('Orçamento 2027 - G&amp;A'!$W:$W,'Orçamento 2027 - G&amp;A'!$B:$B,Resumo!$B46),SUMIFS('Orçamento 2027 - G&amp;A'!$W:$W,'Orçamento 2027 - G&amp;A'!$B:$B,Resumo!$B46,'Orçamento 2027 - G&amp;A'!$D:$D,Resumo!$C$2))</f>
        <v>0</v>
      </c>
      <c r="D46" s="28">
        <f>IF($C$2="TODOS",SUMIFS('Orçamento 2027 - G&amp;A'!$AK:$AK,'Orçamento 2027 - G&amp;A'!$B:$B,Resumo!$B46),SUMIFS('Orçamento 2027 - G&amp;A'!$AK:$AK,'Orçamento 2027 - G&amp;A'!$B:$B,Resumo!$B46,'Orçamento 2027 - G&amp;A'!$D:$D,Resumo!$C$2))</f>
        <v>0</v>
      </c>
      <c r="E46" s="29">
        <f>IF($C$2="TODOS",SUMIFS('Orçamento 2027 - G&amp;A'!$AX:$AX,'Orçamento 2027 - G&amp;A'!$B:$B,Resumo!$B46),SUMIFS('Orçamento 2027 - G&amp;A'!$AX:$AX,'Orçamento 2027 - G&amp;A'!$B:$B,Resumo!$B46,'Orçamento 2027 - G&amp;A'!$D:$D,Resumo!$C$2))</f>
        <v>0</v>
      </c>
      <c r="F46" s="29" t="str">
        <f t="shared" si="1"/>
        <v>OK</v>
      </c>
    </row>
    <row r="47" spans="2:6">
      <c r="B47" s="30" t="s">
        <v>180</v>
      </c>
      <c r="C47" s="28">
        <f>IF($C$2="TODOS",SUMIFS('Orçamento 2027 - G&amp;A'!$W:$W,'Orçamento 2027 - G&amp;A'!$B:$B,Resumo!$B47),SUMIFS('Orçamento 2027 - G&amp;A'!$W:$W,'Orçamento 2027 - G&amp;A'!$B:$B,Resumo!$B47,'Orçamento 2027 - G&amp;A'!$D:$D,Resumo!$C$2))</f>
        <v>0</v>
      </c>
      <c r="D47" s="28">
        <f>IF($C$2="TODOS",SUMIFS('Orçamento 2027 - G&amp;A'!$AK:$AK,'Orçamento 2027 - G&amp;A'!$B:$B,Resumo!$B47),SUMIFS('Orçamento 2027 - G&amp;A'!$AK:$AK,'Orçamento 2027 - G&amp;A'!$B:$B,Resumo!$B47,'Orçamento 2027 - G&amp;A'!$D:$D,Resumo!$C$2))</f>
        <v>0</v>
      </c>
      <c r="E47" s="29">
        <f>IF($C$2="TODOS",SUMIFS('Orçamento 2027 - G&amp;A'!$AX:$AX,'Orçamento 2027 - G&amp;A'!$B:$B,Resumo!$B47),SUMIFS('Orçamento 2027 - G&amp;A'!$AX:$AX,'Orçamento 2027 - G&amp;A'!$B:$B,Resumo!$B47,'Orçamento 2027 - G&amp;A'!$D:$D,Resumo!$C$2))</f>
        <v>0</v>
      </c>
      <c r="F47" s="29" t="str">
        <f t="shared" si="1"/>
        <v>OK</v>
      </c>
    </row>
    <row r="48" spans="2:6">
      <c r="B48" s="30" t="s">
        <v>183</v>
      </c>
      <c r="C48" s="28">
        <f>IF($C$2="TODOS",SUMIFS('Orçamento 2027 - G&amp;A'!$W:$W,'Orçamento 2027 - G&amp;A'!$B:$B,Resumo!$B48),SUMIFS('Orçamento 2027 - G&amp;A'!$W:$W,'Orçamento 2027 - G&amp;A'!$B:$B,Resumo!$B48,'Orçamento 2027 - G&amp;A'!$D:$D,Resumo!$C$2))</f>
        <v>0</v>
      </c>
      <c r="D48" s="28">
        <f>IF($C$2="TODOS",SUMIFS('Orçamento 2027 - G&amp;A'!$AK:$AK,'Orçamento 2027 - G&amp;A'!$B:$B,Resumo!$B48),SUMIFS('Orçamento 2027 - G&amp;A'!$AK:$AK,'Orçamento 2027 - G&amp;A'!$B:$B,Resumo!$B48,'Orçamento 2027 - G&amp;A'!$D:$D,Resumo!$C$2))</f>
        <v>0</v>
      </c>
      <c r="E48" s="29">
        <f>IF($C$2="TODOS",SUMIFS('Orçamento 2027 - G&amp;A'!$AX:$AX,'Orçamento 2027 - G&amp;A'!$B:$B,Resumo!$B48),SUMIFS('Orçamento 2027 - G&amp;A'!$AX:$AX,'Orçamento 2027 - G&amp;A'!$B:$B,Resumo!$B48,'Orçamento 2027 - G&amp;A'!$D:$D,Resumo!$C$2))</f>
        <v>0</v>
      </c>
      <c r="F48" s="29" t="str">
        <f t="shared" si="1"/>
        <v>OK</v>
      </c>
    </row>
    <row r="49" spans="2:6">
      <c r="B49" s="30" t="s">
        <v>186</v>
      </c>
      <c r="C49" s="28">
        <f>IF($C$2="TODOS",SUMIFS('Orçamento 2027 - G&amp;A'!$W:$W,'Orçamento 2027 - G&amp;A'!$B:$B,Resumo!$B49),SUMIFS('Orçamento 2027 - G&amp;A'!$W:$W,'Orçamento 2027 - G&amp;A'!$B:$B,Resumo!$B49,'Orçamento 2027 - G&amp;A'!$D:$D,Resumo!$C$2))</f>
        <v>0</v>
      </c>
      <c r="D49" s="28">
        <f>IF($C$2="TODOS",SUMIFS('Orçamento 2027 - G&amp;A'!$AK:$AK,'Orçamento 2027 - G&amp;A'!$B:$B,Resumo!$B49),SUMIFS('Orçamento 2027 - G&amp;A'!$AK:$AK,'Orçamento 2027 - G&amp;A'!$B:$B,Resumo!$B49,'Orçamento 2027 - G&amp;A'!$D:$D,Resumo!$C$2))</f>
        <v>0</v>
      </c>
      <c r="E49" s="29">
        <f>IF($C$2="TODOS",SUMIFS('Orçamento 2027 - G&amp;A'!$AX:$AX,'Orçamento 2027 - G&amp;A'!$B:$B,Resumo!$B49),SUMIFS('Orçamento 2027 - G&amp;A'!$AX:$AX,'Orçamento 2027 - G&amp;A'!$B:$B,Resumo!$B49,'Orçamento 2027 - G&amp;A'!$D:$D,Resumo!$C$2))</f>
        <v>0</v>
      </c>
      <c r="F49" s="29" t="str">
        <f t="shared" si="1"/>
        <v>OK</v>
      </c>
    </row>
    <row r="50" spans="2:6">
      <c r="B50" s="30" t="s">
        <v>189</v>
      </c>
      <c r="C50" s="28">
        <f>IF($C$2="TODOS",SUMIFS('Orçamento 2027 - G&amp;A'!$W:$W,'Orçamento 2027 - G&amp;A'!$B:$B,Resumo!$B50),SUMIFS('Orçamento 2027 - G&amp;A'!$W:$W,'Orçamento 2027 - G&amp;A'!$B:$B,Resumo!$B50,'Orçamento 2027 - G&amp;A'!$D:$D,Resumo!$C$2))</f>
        <v>0</v>
      </c>
      <c r="D50" s="28">
        <f>IF($C$2="TODOS",SUMIFS('Orçamento 2027 - G&amp;A'!$AK:$AK,'Orçamento 2027 - G&amp;A'!$B:$B,Resumo!$B50),SUMIFS('Orçamento 2027 - G&amp;A'!$AK:$AK,'Orçamento 2027 - G&amp;A'!$B:$B,Resumo!$B50,'Orçamento 2027 - G&amp;A'!$D:$D,Resumo!$C$2))</f>
        <v>0</v>
      </c>
      <c r="E50" s="29">
        <f>IF($C$2="TODOS",SUMIFS('Orçamento 2027 - G&amp;A'!$AX:$AX,'Orçamento 2027 - G&amp;A'!$B:$B,Resumo!$B50),SUMIFS('Orçamento 2027 - G&amp;A'!$AX:$AX,'Orçamento 2027 - G&amp;A'!$B:$B,Resumo!$B50,'Orçamento 2027 - G&amp;A'!$D:$D,Resumo!$C$2))</f>
        <v>0</v>
      </c>
      <c r="F50" s="29" t="str">
        <f t="shared" si="1"/>
        <v>OK</v>
      </c>
    </row>
    <row r="51" spans="2:6">
      <c r="B51" s="30" t="s">
        <v>192</v>
      </c>
      <c r="C51" s="28">
        <f>IF($C$2="TODOS",SUMIFS('Orçamento 2027 - G&amp;A'!$W:$W,'Orçamento 2027 - G&amp;A'!$B:$B,Resumo!$B51),SUMIFS('Orçamento 2027 - G&amp;A'!$W:$W,'Orçamento 2027 - G&amp;A'!$B:$B,Resumo!$B51,'Orçamento 2027 - G&amp;A'!$D:$D,Resumo!$C$2))</f>
        <v>0</v>
      </c>
      <c r="D51" s="28">
        <f>IF($C$2="TODOS",SUMIFS('Orçamento 2027 - G&amp;A'!$AK:$AK,'Orçamento 2027 - G&amp;A'!$B:$B,Resumo!$B51),SUMIFS('Orçamento 2027 - G&amp;A'!$AK:$AK,'Orçamento 2027 - G&amp;A'!$B:$B,Resumo!$B51,'Orçamento 2027 - G&amp;A'!$D:$D,Resumo!$C$2))</f>
        <v>0</v>
      </c>
      <c r="E51" s="29">
        <f>IF($C$2="TODOS",SUMIFS('Orçamento 2027 - G&amp;A'!$AX:$AX,'Orçamento 2027 - G&amp;A'!$B:$B,Resumo!$B51),SUMIFS('Orçamento 2027 - G&amp;A'!$AX:$AX,'Orçamento 2027 - G&amp;A'!$B:$B,Resumo!$B51,'Orçamento 2027 - G&amp;A'!$D:$D,Resumo!$C$2))</f>
        <v>0</v>
      </c>
      <c r="F51" s="29" t="str">
        <f t="shared" si="1"/>
        <v>OK</v>
      </c>
    </row>
    <row r="52" spans="2:6">
      <c r="B52" s="30" t="s">
        <v>195</v>
      </c>
      <c r="C52" s="28">
        <f>IF($C$2="TODOS",SUMIFS('Orçamento 2027 - G&amp;A'!$W:$W,'Orçamento 2027 - G&amp;A'!$B:$B,Resumo!$B52),SUMIFS('Orçamento 2027 - G&amp;A'!$W:$W,'Orçamento 2027 - G&amp;A'!$B:$B,Resumo!$B52,'Orçamento 2027 - G&amp;A'!$D:$D,Resumo!$C$2))</f>
        <v>0</v>
      </c>
      <c r="D52" s="28">
        <f>IF($C$2="TODOS",SUMIFS('Orçamento 2027 - G&amp;A'!$AK:$AK,'Orçamento 2027 - G&amp;A'!$B:$B,Resumo!$B52),SUMIFS('Orçamento 2027 - G&amp;A'!$AK:$AK,'Orçamento 2027 - G&amp;A'!$B:$B,Resumo!$B52,'Orçamento 2027 - G&amp;A'!$D:$D,Resumo!$C$2))</f>
        <v>0</v>
      </c>
      <c r="E52" s="29">
        <f>IF($C$2="TODOS",SUMIFS('Orçamento 2027 - G&amp;A'!$AX:$AX,'Orçamento 2027 - G&amp;A'!$B:$B,Resumo!$B52),SUMIFS('Orçamento 2027 - G&amp;A'!$AX:$AX,'Orçamento 2027 - G&amp;A'!$B:$B,Resumo!$B52,'Orçamento 2027 - G&amp;A'!$D:$D,Resumo!$C$2))</f>
        <v>0</v>
      </c>
      <c r="F52" s="29" t="str">
        <f t="shared" si="1"/>
        <v>OK</v>
      </c>
    </row>
    <row r="53" spans="2:6">
      <c r="B53" s="30" t="s">
        <v>198</v>
      </c>
      <c r="C53" s="28">
        <f>IF($C$2="TODOS",SUMIFS('Orçamento 2027 - G&amp;A'!$W:$W,'Orçamento 2027 - G&amp;A'!$B:$B,Resumo!$B53),SUMIFS('Orçamento 2027 - G&amp;A'!$W:$W,'Orçamento 2027 - G&amp;A'!$B:$B,Resumo!$B53,'Orçamento 2027 - G&amp;A'!$D:$D,Resumo!$C$2))</f>
        <v>0</v>
      </c>
      <c r="D53" s="28">
        <f>IF($C$2="TODOS",SUMIFS('Orçamento 2027 - G&amp;A'!$AK:$AK,'Orçamento 2027 - G&amp;A'!$B:$B,Resumo!$B53),SUMIFS('Orçamento 2027 - G&amp;A'!$AK:$AK,'Orçamento 2027 - G&amp;A'!$B:$B,Resumo!$B53,'Orçamento 2027 - G&amp;A'!$D:$D,Resumo!$C$2))</f>
        <v>0</v>
      </c>
      <c r="E53" s="29">
        <f>IF($C$2="TODOS",SUMIFS('Orçamento 2027 - G&amp;A'!$AX:$AX,'Orçamento 2027 - G&amp;A'!$B:$B,Resumo!$B53),SUMIFS('Orçamento 2027 - G&amp;A'!$AX:$AX,'Orçamento 2027 - G&amp;A'!$B:$B,Resumo!$B53,'Orçamento 2027 - G&amp;A'!$D:$D,Resumo!$C$2))</f>
        <v>0</v>
      </c>
      <c r="F53" s="29" t="str">
        <f t="shared" si="1"/>
        <v>OK</v>
      </c>
    </row>
    <row r="54" spans="2:6">
      <c r="B54" s="30" t="s">
        <v>201</v>
      </c>
      <c r="C54" s="28">
        <f>IF($C$2="TODOS",SUMIFS('Orçamento 2027 - G&amp;A'!$W:$W,'Orçamento 2027 - G&amp;A'!$B:$B,Resumo!$B54),SUMIFS('Orçamento 2027 - G&amp;A'!$W:$W,'Orçamento 2027 - G&amp;A'!$B:$B,Resumo!$B54,'Orçamento 2027 - G&amp;A'!$D:$D,Resumo!$C$2))</f>
        <v>0</v>
      </c>
      <c r="D54" s="28">
        <f>IF($C$2="TODOS",SUMIFS('Orçamento 2027 - G&amp;A'!$AK:$AK,'Orçamento 2027 - G&amp;A'!$B:$B,Resumo!$B54),SUMIFS('Orçamento 2027 - G&amp;A'!$AK:$AK,'Orçamento 2027 - G&amp;A'!$B:$B,Resumo!$B54,'Orçamento 2027 - G&amp;A'!$D:$D,Resumo!$C$2))</f>
        <v>0</v>
      </c>
      <c r="E54" s="29">
        <f>IF($C$2="TODOS",SUMIFS('Orçamento 2027 - G&amp;A'!$AX:$AX,'Orçamento 2027 - G&amp;A'!$B:$B,Resumo!$B54),SUMIFS('Orçamento 2027 - G&amp;A'!$AX:$AX,'Orçamento 2027 - G&amp;A'!$B:$B,Resumo!$B54,'Orçamento 2027 - G&amp;A'!$D:$D,Resumo!$C$2))</f>
        <v>0</v>
      </c>
      <c r="F54" s="29" t="str">
        <f t="shared" si="1"/>
        <v>OK</v>
      </c>
    </row>
    <row r="55" spans="2:6">
      <c r="B55" s="30" t="s">
        <v>204</v>
      </c>
      <c r="C55" s="28">
        <f>IF($C$2="TODOS",SUMIFS('Orçamento 2027 - G&amp;A'!$W:$W,'Orçamento 2027 - G&amp;A'!$B:$B,Resumo!$B55),SUMIFS('Orçamento 2027 - G&amp;A'!$W:$W,'Orçamento 2027 - G&amp;A'!$B:$B,Resumo!$B55,'Orçamento 2027 - G&amp;A'!$D:$D,Resumo!$C$2))</f>
        <v>0</v>
      </c>
      <c r="D55" s="28">
        <f>IF($C$2="TODOS",SUMIFS('Orçamento 2027 - G&amp;A'!$AK:$AK,'Orçamento 2027 - G&amp;A'!$B:$B,Resumo!$B55),SUMIFS('Orçamento 2027 - G&amp;A'!$AK:$AK,'Orçamento 2027 - G&amp;A'!$B:$B,Resumo!$B55,'Orçamento 2027 - G&amp;A'!$D:$D,Resumo!$C$2))</f>
        <v>0</v>
      </c>
      <c r="E55" s="29">
        <f>IF($C$2="TODOS",SUMIFS('Orçamento 2027 - G&amp;A'!$AX:$AX,'Orçamento 2027 - G&amp;A'!$B:$B,Resumo!$B55),SUMIFS('Orçamento 2027 - G&amp;A'!$AX:$AX,'Orçamento 2027 - G&amp;A'!$B:$B,Resumo!$B55,'Orçamento 2027 - G&amp;A'!$D:$D,Resumo!$C$2))</f>
        <v>0</v>
      </c>
      <c r="F55" s="29" t="str">
        <f t="shared" si="1"/>
        <v>OK</v>
      </c>
    </row>
    <row r="56" spans="2:6">
      <c r="B56" s="30" t="s">
        <v>207</v>
      </c>
      <c r="C56" s="28">
        <f>IF($C$2="TODOS",SUMIFS('Orçamento 2027 - G&amp;A'!$W:$W,'Orçamento 2027 - G&amp;A'!$B:$B,Resumo!$B56),SUMIFS('Orçamento 2027 - G&amp;A'!$W:$W,'Orçamento 2027 - G&amp;A'!$B:$B,Resumo!$B56,'Orçamento 2027 - G&amp;A'!$D:$D,Resumo!$C$2))</f>
        <v>0</v>
      </c>
      <c r="D56" s="28">
        <f>IF($C$2="TODOS",SUMIFS('Orçamento 2027 - G&amp;A'!$AK:$AK,'Orçamento 2027 - G&amp;A'!$B:$B,Resumo!$B56),SUMIFS('Orçamento 2027 - G&amp;A'!$AK:$AK,'Orçamento 2027 - G&amp;A'!$B:$B,Resumo!$B56,'Orçamento 2027 - G&amp;A'!$D:$D,Resumo!$C$2))</f>
        <v>0</v>
      </c>
      <c r="E56" s="29">
        <f>IF($C$2="TODOS",SUMIFS('Orçamento 2027 - G&amp;A'!$AX:$AX,'Orçamento 2027 - G&amp;A'!$B:$B,Resumo!$B56),SUMIFS('Orçamento 2027 - G&amp;A'!$AX:$AX,'Orçamento 2027 - G&amp;A'!$B:$B,Resumo!$B56,'Orçamento 2027 - G&amp;A'!$D:$D,Resumo!$C$2))</f>
        <v>0</v>
      </c>
      <c r="F56" s="29" t="str">
        <f t="shared" si="1"/>
        <v>OK</v>
      </c>
    </row>
    <row r="57" spans="2:6">
      <c r="B57" s="30" t="s">
        <v>210</v>
      </c>
      <c r="C57" s="28">
        <f>IF($C$2="TODOS",SUMIFS('Orçamento 2027 - G&amp;A'!$W:$W,'Orçamento 2027 - G&amp;A'!$B:$B,Resumo!$B57),SUMIFS('Orçamento 2027 - G&amp;A'!$W:$W,'Orçamento 2027 - G&amp;A'!$B:$B,Resumo!$B57,'Orçamento 2027 - G&amp;A'!$D:$D,Resumo!$C$2))</f>
        <v>0</v>
      </c>
      <c r="D57" s="28">
        <f>IF($C$2="TODOS",SUMIFS('Orçamento 2027 - G&amp;A'!$AK:$AK,'Orçamento 2027 - G&amp;A'!$B:$B,Resumo!$B57),SUMIFS('Orçamento 2027 - G&amp;A'!$AK:$AK,'Orçamento 2027 - G&amp;A'!$B:$B,Resumo!$B57,'Orçamento 2027 - G&amp;A'!$D:$D,Resumo!$C$2))</f>
        <v>0</v>
      </c>
      <c r="E57" s="29">
        <f>IF($C$2="TODOS",SUMIFS('Orçamento 2027 - G&amp;A'!$AX:$AX,'Orçamento 2027 - G&amp;A'!$B:$B,Resumo!$B57),SUMIFS('Orçamento 2027 - G&amp;A'!$AX:$AX,'Orçamento 2027 - G&amp;A'!$B:$B,Resumo!$B57,'Orçamento 2027 - G&amp;A'!$D:$D,Resumo!$C$2))</f>
        <v>0</v>
      </c>
      <c r="F57" s="29" t="str">
        <f t="shared" si="1"/>
        <v>OK</v>
      </c>
    </row>
    <row r="58" spans="2:6">
      <c r="B58" s="30" t="s">
        <v>213</v>
      </c>
      <c r="C58" s="28">
        <f>IF($C$2="TODOS",SUMIFS('Orçamento 2027 - G&amp;A'!$W:$W,'Orçamento 2027 - G&amp;A'!$B:$B,Resumo!$B58),SUMIFS('Orçamento 2027 - G&amp;A'!$W:$W,'Orçamento 2027 - G&amp;A'!$B:$B,Resumo!$B58,'Orçamento 2027 - G&amp;A'!$D:$D,Resumo!$C$2))</f>
        <v>0</v>
      </c>
      <c r="D58" s="28">
        <f>IF($C$2="TODOS",SUMIFS('Orçamento 2027 - G&amp;A'!$AK:$AK,'Orçamento 2027 - G&amp;A'!$B:$B,Resumo!$B58),SUMIFS('Orçamento 2027 - G&amp;A'!$AK:$AK,'Orçamento 2027 - G&amp;A'!$B:$B,Resumo!$B58,'Orçamento 2027 - G&amp;A'!$D:$D,Resumo!$C$2))</f>
        <v>0</v>
      </c>
      <c r="E58" s="29">
        <f>IF($C$2="TODOS",SUMIFS('Orçamento 2027 - G&amp;A'!$AX:$AX,'Orçamento 2027 - G&amp;A'!$B:$B,Resumo!$B58),SUMIFS('Orçamento 2027 - G&amp;A'!$AX:$AX,'Orçamento 2027 - G&amp;A'!$B:$B,Resumo!$B58,'Orçamento 2027 - G&amp;A'!$D:$D,Resumo!$C$2))</f>
        <v>0</v>
      </c>
      <c r="F58" s="29" t="str">
        <f t="shared" si="1"/>
        <v>OK</v>
      </c>
    </row>
    <row r="59" spans="2:6">
      <c r="B59" s="30" t="s">
        <v>216</v>
      </c>
      <c r="C59" s="28">
        <f>IF($C$2="TODOS",SUMIFS('Orçamento 2027 - G&amp;A'!$W:$W,'Orçamento 2027 - G&amp;A'!$B:$B,Resumo!$B59),SUMIFS('Orçamento 2027 - G&amp;A'!$W:$W,'Orçamento 2027 - G&amp;A'!$B:$B,Resumo!$B59,'Orçamento 2027 - G&amp;A'!$D:$D,Resumo!$C$2))</f>
        <v>0</v>
      </c>
      <c r="D59" s="28">
        <f>IF($C$2="TODOS",SUMIFS('Orçamento 2027 - G&amp;A'!$AK:$AK,'Orçamento 2027 - G&amp;A'!$B:$B,Resumo!$B59),SUMIFS('Orçamento 2027 - G&amp;A'!$AK:$AK,'Orçamento 2027 - G&amp;A'!$B:$B,Resumo!$B59,'Orçamento 2027 - G&amp;A'!$D:$D,Resumo!$C$2))</f>
        <v>0</v>
      </c>
      <c r="E59" s="29">
        <f>IF($C$2="TODOS",SUMIFS('Orçamento 2027 - G&amp;A'!$AX:$AX,'Orçamento 2027 - G&amp;A'!$B:$B,Resumo!$B59),SUMIFS('Orçamento 2027 - G&amp;A'!$AX:$AX,'Orçamento 2027 - G&amp;A'!$B:$B,Resumo!$B59,'Orçamento 2027 - G&amp;A'!$D:$D,Resumo!$C$2))</f>
        <v>0</v>
      </c>
      <c r="F59" s="29" t="str">
        <f t="shared" si="1"/>
        <v>OK</v>
      </c>
    </row>
    <row r="60" spans="2:6">
      <c r="B60" s="30" t="s">
        <v>219</v>
      </c>
      <c r="C60" s="28">
        <f>IF($C$2="TODOS",SUMIFS('Orçamento 2027 - G&amp;A'!$W:$W,'Orçamento 2027 - G&amp;A'!$B:$B,Resumo!$B60),SUMIFS('Orçamento 2027 - G&amp;A'!$W:$W,'Orçamento 2027 - G&amp;A'!$B:$B,Resumo!$B60,'Orçamento 2027 - G&amp;A'!$D:$D,Resumo!$C$2))</f>
        <v>0</v>
      </c>
      <c r="D60" s="28">
        <f>IF($C$2="TODOS",SUMIFS('Orçamento 2027 - G&amp;A'!$AK:$AK,'Orçamento 2027 - G&amp;A'!$B:$B,Resumo!$B60),SUMIFS('Orçamento 2027 - G&amp;A'!$AK:$AK,'Orçamento 2027 - G&amp;A'!$B:$B,Resumo!$B60,'Orçamento 2027 - G&amp;A'!$D:$D,Resumo!$C$2))</f>
        <v>0</v>
      </c>
      <c r="E60" s="29">
        <f>IF($C$2="TODOS",SUMIFS('Orçamento 2027 - G&amp;A'!$AX:$AX,'Orçamento 2027 - G&amp;A'!$B:$B,Resumo!$B60),SUMIFS('Orçamento 2027 - G&amp;A'!$AX:$AX,'Orçamento 2027 - G&amp;A'!$B:$B,Resumo!$B60,'Orçamento 2027 - G&amp;A'!$D:$D,Resumo!$C$2))</f>
        <v>0</v>
      </c>
      <c r="F60" s="29" t="str">
        <f t="shared" si="1"/>
        <v>OK</v>
      </c>
    </row>
    <row r="61" spans="2:6">
      <c r="B61" s="30" t="s">
        <v>222</v>
      </c>
      <c r="C61" s="28">
        <f>IF($C$2="TODOS",SUMIFS('Orçamento 2027 - G&amp;A'!$W:$W,'Orçamento 2027 - G&amp;A'!$B:$B,Resumo!$B61),SUMIFS('Orçamento 2027 - G&amp;A'!$W:$W,'Orçamento 2027 - G&amp;A'!$B:$B,Resumo!$B61,'Orçamento 2027 - G&amp;A'!$D:$D,Resumo!$C$2))</f>
        <v>0</v>
      </c>
      <c r="D61" s="28">
        <f>IF($C$2="TODOS",SUMIFS('Orçamento 2027 - G&amp;A'!$AK:$AK,'Orçamento 2027 - G&amp;A'!$B:$B,Resumo!$B61),SUMIFS('Orçamento 2027 - G&amp;A'!$AK:$AK,'Orçamento 2027 - G&amp;A'!$B:$B,Resumo!$B61,'Orçamento 2027 - G&amp;A'!$D:$D,Resumo!$C$2))</f>
        <v>0</v>
      </c>
      <c r="E61" s="29">
        <f>IF($C$2="TODOS",SUMIFS('Orçamento 2027 - G&amp;A'!$AX:$AX,'Orçamento 2027 - G&amp;A'!$B:$B,Resumo!$B61),SUMIFS('Orçamento 2027 - G&amp;A'!$AX:$AX,'Orçamento 2027 - G&amp;A'!$B:$B,Resumo!$B61,'Orçamento 2027 - G&amp;A'!$D:$D,Resumo!$C$2))</f>
        <v>0</v>
      </c>
      <c r="F61" s="29" t="str">
        <f t="shared" si="1"/>
        <v>OK</v>
      </c>
    </row>
    <row r="62" spans="2:6">
      <c r="B62" s="30" t="s">
        <v>225</v>
      </c>
      <c r="C62" s="28">
        <f>IF($C$2="TODOS",SUMIFS('Orçamento 2027 - G&amp;A'!$W:$W,'Orçamento 2027 - G&amp;A'!$B:$B,Resumo!$B62),SUMIFS('Orçamento 2027 - G&amp;A'!$W:$W,'Orçamento 2027 - G&amp;A'!$B:$B,Resumo!$B62,'Orçamento 2027 - G&amp;A'!$D:$D,Resumo!$C$2))</f>
        <v>0</v>
      </c>
      <c r="D62" s="28">
        <f>IF($C$2="TODOS",SUMIFS('Orçamento 2027 - G&amp;A'!$AK:$AK,'Orçamento 2027 - G&amp;A'!$B:$B,Resumo!$B62),SUMIFS('Orçamento 2027 - G&amp;A'!$AK:$AK,'Orçamento 2027 - G&amp;A'!$B:$B,Resumo!$B62,'Orçamento 2027 - G&amp;A'!$D:$D,Resumo!$C$2))</f>
        <v>0</v>
      </c>
      <c r="E62" s="29">
        <f>IF($C$2="TODOS",SUMIFS('Orçamento 2027 - G&amp;A'!$AX:$AX,'Orçamento 2027 - G&amp;A'!$B:$B,Resumo!$B62),SUMIFS('Orçamento 2027 - G&amp;A'!$AX:$AX,'Orçamento 2027 - G&amp;A'!$B:$B,Resumo!$B62,'Orçamento 2027 - G&amp;A'!$D:$D,Resumo!$C$2))</f>
        <v>0</v>
      </c>
      <c r="F62" s="29" t="str">
        <f t="shared" si="1"/>
        <v>OK</v>
      </c>
    </row>
    <row r="63" spans="2:6">
      <c r="B63" s="30" t="s">
        <v>228</v>
      </c>
      <c r="C63" s="28">
        <f>IF($C$2="TODOS",SUMIFS('Orçamento 2027 - G&amp;A'!$W:$W,'Orçamento 2027 - G&amp;A'!$B:$B,Resumo!$B63),SUMIFS('Orçamento 2027 - G&amp;A'!$W:$W,'Orçamento 2027 - G&amp;A'!$B:$B,Resumo!$B63,'Orçamento 2027 - G&amp;A'!$D:$D,Resumo!$C$2))</f>
        <v>0</v>
      </c>
      <c r="D63" s="28">
        <f>IF($C$2="TODOS",SUMIFS('Orçamento 2027 - G&amp;A'!$AK:$AK,'Orçamento 2027 - G&amp;A'!$B:$B,Resumo!$B63),SUMIFS('Orçamento 2027 - G&amp;A'!$AK:$AK,'Orçamento 2027 - G&amp;A'!$B:$B,Resumo!$B63,'Orçamento 2027 - G&amp;A'!$D:$D,Resumo!$C$2))</f>
        <v>0</v>
      </c>
      <c r="E63" s="29">
        <f>IF($C$2="TODOS",SUMIFS('Orçamento 2027 - G&amp;A'!$AX:$AX,'Orçamento 2027 - G&amp;A'!$B:$B,Resumo!$B63),SUMIFS('Orçamento 2027 - G&amp;A'!$AX:$AX,'Orçamento 2027 - G&amp;A'!$B:$B,Resumo!$B63,'Orçamento 2027 - G&amp;A'!$D:$D,Resumo!$C$2))</f>
        <v>0</v>
      </c>
      <c r="F63" s="29" t="str">
        <f t="shared" si="1"/>
        <v>OK</v>
      </c>
    </row>
    <row r="64" spans="2:6">
      <c r="B64" s="30" t="s">
        <v>231</v>
      </c>
      <c r="C64" s="28">
        <f>IF($C$2="TODOS",SUMIFS('Orçamento 2027 - G&amp;A'!$W:$W,'Orçamento 2027 - G&amp;A'!$B:$B,Resumo!$B64),SUMIFS('Orçamento 2027 - G&amp;A'!$W:$W,'Orçamento 2027 - G&amp;A'!$B:$B,Resumo!$B64,'Orçamento 2027 - G&amp;A'!$D:$D,Resumo!$C$2))</f>
        <v>0</v>
      </c>
      <c r="D64" s="28">
        <f>IF($C$2="TODOS",SUMIFS('Orçamento 2027 - G&amp;A'!$AK:$AK,'Orçamento 2027 - G&amp;A'!$B:$B,Resumo!$B64),SUMIFS('Orçamento 2027 - G&amp;A'!$AK:$AK,'Orçamento 2027 - G&amp;A'!$B:$B,Resumo!$B64,'Orçamento 2027 - G&amp;A'!$D:$D,Resumo!$C$2))</f>
        <v>0</v>
      </c>
      <c r="E64" s="29">
        <f>IF($C$2="TODOS",SUMIFS('Orçamento 2027 - G&amp;A'!$AX:$AX,'Orçamento 2027 - G&amp;A'!$B:$B,Resumo!$B64),SUMIFS('Orçamento 2027 - G&amp;A'!$AX:$AX,'Orçamento 2027 - G&amp;A'!$B:$B,Resumo!$B64,'Orçamento 2027 - G&amp;A'!$D:$D,Resumo!$C$2))</f>
        <v>0</v>
      </c>
      <c r="F64" s="29" t="str">
        <f t="shared" si="1"/>
        <v>OK</v>
      </c>
    </row>
    <row r="65" spans="2:6">
      <c r="B65" s="30" t="s">
        <v>234</v>
      </c>
      <c r="C65" s="28">
        <f>IF($C$2="TODOS",SUMIFS('Orçamento 2027 - G&amp;A'!$W:$W,'Orçamento 2027 - G&amp;A'!$B:$B,Resumo!$B65),SUMIFS('Orçamento 2027 - G&amp;A'!$W:$W,'Orçamento 2027 - G&amp;A'!$B:$B,Resumo!$B65,'Orçamento 2027 - G&amp;A'!$D:$D,Resumo!$C$2))</f>
        <v>0</v>
      </c>
      <c r="D65" s="28">
        <f>IF($C$2="TODOS",SUMIFS('Orçamento 2027 - G&amp;A'!$AK:$AK,'Orçamento 2027 - G&amp;A'!$B:$B,Resumo!$B65),SUMIFS('Orçamento 2027 - G&amp;A'!$AK:$AK,'Orçamento 2027 - G&amp;A'!$B:$B,Resumo!$B65,'Orçamento 2027 - G&amp;A'!$D:$D,Resumo!$C$2))</f>
        <v>0</v>
      </c>
      <c r="E65" s="29">
        <f>IF($C$2="TODOS",SUMIFS('Orçamento 2027 - G&amp;A'!$AX:$AX,'Orçamento 2027 - G&amp;A'!$B:$B,Resumo!$B65),SUMIFS('Orçamento 2027 - G&amp;A'!$AX:$AX,'Orçamento 2027 - G&amp;A'!$B:$B,Resumo!$B65,'Orçamento 2027 - G&amp;A'!$D:$D,Resumo!$C$2))</f>
        <v>0</v>
      </c>
      <c r="F65" s="29" t="str">
        <f t="shared" si="1"/>
        <v>OK</v>
      </c>
    </row>
    <row r="66" spans="2:6">
      <c r="B66" s="30" t="s">
        <v>237</v>
      </c>
      <c r="C66" s="28">
        <f>IF($C$2="TODOS",SUMIFS('Orçamento 2027 - G&amp;A'!$W:$W,'Orçamento 2027 - G&amp;A'!$B:$B,Resumo!$B66),SUMIFS('Orçamento 2027 - G&amp;A'!$W:$W,'Orçamento 2027 - G&amp;A'!$B:$B,Resumo!$B66,'Orçamento 2027 - G&amp;A'!$D:$D,Resumo!$C$2))</f>
        <v>0</v>
      </c>
      <c r="D66" s="28">
        <f>IF($C$2="TODOS",SUMIFS('Orçamento 2027 - G&amp;A'!$AK:$AK,'Orçamento 2027 - G&amp;A'!$B:$B,Resumo!$B66),SUMIFS('Orçamento 2027 - G&amp;A'!$AK:$AK,'Orçamento 2027 - G&amp;A'!$B:$B,Resumo!$B66,'Orçamento 2027 - G&amp;A'!$D:$D,Resumo!$C$2))</f>
        <v>0</v>
      </c>
      <c r="E66" s="29">
        <f>IF($C$2="TODOS",SUMIFS('Orçamento 2027 - G&amp;A'!$AX:$AX,'Orçamento 2027 - G&amp;A'!$B:$B,Resumo!$B66),SUMIFS('Orçamento 2027 - G&amp;A'!$AX:$AX,'Orçamento 2027 - G&amp;A'!$B:$B,Resumo!$B66,'Orçamento 2027 - G&amp;A'!$D:$D,Resumo!$C$2))</f>
        <v>0</v>
      </c>
      <c r="F66" s="29" t="str">
        <f t="shared" si="1"/>
        <v>OK</v>
      </c>
    </row>
    <row r="67" spans="2:6">
      <c r="B67" s="30" t="s">
        <v>240</v>
      </c>
      <c r="C67" s="28">
        <f>IF($C$2="TODOS",SUMIFS('Orçamento 2027 - G&amp;A'!$W:$W,'Orçamento 2027 - G&amp;A'!$B:$B,Resumo!$B67),SUMIFS('Orçamento 2027 - G&amp;A'!$W:$W,'Orçamento 2027 - G&amp;A'!$B:$B,Resumo!$B67,'Orçamento 2027 - G&amp;A'!$D:$D,Resumo!$C$2))</f>
        <v>0</v>
      </c>
      <c r="D67" s="28">
        <f>IF($C$2="TODOS",SUMIFS('Orçamento 2027 - G&amp;A'!$AK:$AK,'Orçamento 2027 - G&amp;A'!$B:$B,Resumo!$B67),SUMIFS('Orçamento 2027 - G&amp;A'!$AK:$AK,'Orçamento 2027 - G&amp;A'!$B:$B,Resumo!$B67,'Orçamento 2027 - G&amp;A'!$D:$D,Resumo!$C$2))</f>
        <v>0</v>
      </c>
      <c r="E67" s="29">
        <f>IF($C$2="TODOS",SUMIFS('Orçamento 2027 - G&amp;A'!$AX:$AX,'Orçamento 2027 - G&amp;A'!$B:$B,Resumo!$B67),SUMIFS('Orçamento 2027 - G&amp;A'!$AX:$AX,'Orçamento 2027 - G&amp;A'!$B:$B,Resumo!$B67,'Orçamento 2027 - G&amp;A'!$D:$D,Resumo!$C$2))</f>
        <v>0</v>
      </c>
      <c r="F67" s="29" t="str">
        <f t="shared" si="1"/>
        <v>OK</v>
      </c>
    </row>
    <row r="68" spans="2:6">
      <c r="B68" s="30" t="s">
        <v>243</v>
      </c>
      <c r="C68" s="28">
        <f>IF($C$2="TODOS",SUMIFS('Orçamento 2027 - G&amp;A'!$W:$W,'Orçamento 2027 - G&amp;A'!$B:$B,Resumo!$B68),SUMIFS('Orçamento 2027 - G&amp;A'!$W:$W,'Orçamento 2027 - G&amp;A'!$B:$B,Resumo!$B68,'Orçamento 2027 - G&amp;A'!$D:$D,Resumo!$C$2))</f>
        <v>0</v>
      </c>
      <c r="D68" s="28">
        <f>IF($C$2="TODOS",SUMIFS('Orçamento 2027 - G&amp;A'!$AK:$AK,'Orçamento 2027 - G&amp;A'!$B:$B,Resumo!$B68),SUMIFS('Orçamento 2027 - G&amp;A'!$AK:$AK,'Orçamento 2027 - G&amp;A'!$B:$B,Resumo!$B68,'Orçamento 2027 - G&amp;A'!$D:$D,Resumo!$C$2))</f>
        <v>0</v>
      </c>
      <c r="E68" s="29">
        <f>IF($C$2="TODOS",SUMIFS('Orçamento 2027 - G&amp;A'!$AX:$AX,'Orçamento 2027 - G&amp;A'!$B:$B,Resumo!$B68),SUMIFS('Orçamento 2027 - G&amp;A'!$AX:$AX,'Orçamento 2027 - G&amp;A'!$B:$B,Resumo!$B68,'Orçamento 2027 - G&amp;A'!$D:$D,Resumo!$C$2))</f>
        <v>0</v>
      </c>
      <c r="F68" s="29" t="str">
        <f t="shared" si="1"/>
        <v>OK</v>
      </c>
    </row>
    <row r="69" spans="2:6">
      <c r="B69" s="30" t="s">
        <v>246</v>
      </c>
      <c r="C69" s="28">
        <f>IF($C$2="TODOS",SUMIFS('Orçamento 2027 - G&amp;A'!$W:$W,'Orçamento 2027 - G&amp;A'!$B:$B,Resumo!$B69),SUMIFS('Orçamento 2027 - G&amp;A'!$W:$W,'Orçamento 2027 - G&amp;A'!$B:$B,Resumo!$B69,'Orçamento 2027 - G&amp;A'!$D:$D,Resumo!$C$2))</f>
        <v>0</v>
      </c>
      <c r="D69" s="28">
        <f>IF($C$2="TODOS",SUMIFS('Orçamento 2027 - G&amp;A'!$AK:$AK,'Orçamento 2027 - G&amp;A'!$B:$B,Resumo!$B69),SUMIFS('Orçamento 2027 - G&amp;A'!$AK:$AK,'Orçamento 2027 - G&amp;A'!$B:$B,Resumo!$B69,'Orçamento 2027 - G&amp;A'!$D:$D,Resumo!$C$2))</f>
        <v>0</v>
      </c>
      <c r="E69" s="29">
        <f>IF($C$2="TODOS",SUMIFS('Orçamento 2027 - G&amp;A'!$AX:$AX,'Orçamento 2027 - G&amp;A'!$B:$B,Resumo!$B69),SUMIFS('Orçamento 2027 - G&amp;A'!$AX:$AX,'Orçamento 2027 - G&amp;A'!$B:$B,Resumo!$B69,'Orçamento 2027 - G&amp;A'!$D:$D,Resumo!$C$2))</f>
        <v>0</v>
      </c>
      <c r="F69" s="29" t="str">
        <f t="shared" si="1"/>
        <v>OK</v>
      </c>
    </row>
    <row r="70" spans="2:6">
      <c r="B70" s="30" t="s">
        <v>249</v>
      </c>
      <c r="C70" s="28">
        <f>IF($C$2="TODOS",SUMIFS('Orçamento 2027 - G&amp;A'!$W:$W,'Orçamento 2027 - G&amp;A'!$B:$B,Resumo!$B70),SUMIFS('Orçamento 2027 - G&amp;A'!$W:$W,'Orçamento 2027 - G&amp;A'!$B:$B,Resumo!$B70,'Orçamento 2027 - G&amp;A'!$D:$D,Resumo!$C$2))</f>
        <v>0</v>
      </c>
      <c r="D70" s="28">
        <f>IF($C$2="TODOS",SUMIFS('Orçamento 2027 - G&amp;A'!$AK:$AK,'Orçamento 2027 - G&amp;A'!$B:$B,Resumo!$B70),SUMIFS('Orçamento 2027 - G&amp;A'!$AK:$AK,'Orçamento 2027 - G&amp;A'!$B:$B,Resumo!$B70,'Orçamento 2027 - G&amp;A'!$D:$D,Resumo!$C$2))</f>
        <v>0</v>
      </c>
      <c r="E70" s="29">
        <f>IF($C$2="TODOS",SUMIFS('Orçamento 2027 - G&amp;A'!$AX:$AX,'Orçamento 2027 - G&amp;A'!$B:$B,Resumo!$B70),SUMIFS('Orçamento 2027 - G&amp;A'!$AX:$AX,'Orçamento 2027 - G&amp;A'!$B:$B,Resumo!$B70,'Orçamento 2027 - G&amp;A'!$D:$D,Resumo!$C$2))</f>
        <v>0</v>
      </c>
      <c r="F70" s="29" t="str">
        <f t="shared" si="1"/>
        <v>OK</v>
      </c>
    </row>
    <row r="71" spans="2:6">
      <c r="B71" s="30" t="s">
        <v>252</v>
      </c>
      <c r="C71" s="28">
        <f>IF($C$2="TODOS",SUMIFS('Orçamento 2027 - G&amp;A'!$W:$W,'Orçamento 2027 - G&amp;A'!$B:$B,Resumo!$B71),SUMIFS('Orçamento 2027 - G&amp;A'!$W:$W,'Orçamento 2027 - G&amp;A'!$B:$B,Resumo!$B71,'Orçamento 2027 - G&amp;A'!$D:$D,Resumo!$C$2))</f>
        <v>0</v>
      </c>
      <c r="D71" s="28">
        <f>IF($C$2="TODOS",SUMIFS('Orçamento 2027 - G&amp;A'!$AK:$AK,'Orçamento 2027 - G&amp;A'!$B:$B,Resumo!$B71),SUMIFS('Orçamento 2027 - G&amp;A'!$AK:$AK,'Orçamento 2027 - G&amp;A'!$B:$B,Resumo!$B71,'Orçamento 2027 - G&amp;A'!$D:$D,Resumo!$C$2))</f>
        <v>0</v>
      </c>
      <c r="E71" s="29">
        <f>IF($C$2="TODOS",SUMIFS('Orçamento 2027 - G&amp;A'!$AX:$AX,'Orçamento 2027 - G&amp;A'!$B:$B,Resumo!$B71),SUMIFS('Orçamento 2027 - G&amp;A'!$AX:$AX,'Orçamento 2027 - G&amp;A'!$B:$B,Resumo!$B71,'Orçamento 2027 - G&amp;A'!$D:$D,Resumo!$C$2))</f>
        <v>0</v>
      </c>
      <c r="F71" s="29" t="str">
        <f t="shared" ref="F71:F84" si="2">IF(AND(E71=0,D71&lt;&gt;0),"PENDENTE","OK")</f>
        <v>OK</v>
      </c>
    </row>
    <row r="72" spans="2:6">
      <c r="B72" s="30" t="s">
        <v>255</v>
      </c>
      <c r="C72" s="28">
        <f>IF($C$2="TODOS",SUMIFS('Orçamento 2027 - G&amp;A'!$W:$W,'Orçamento 2027 - G&amp;A'!$B:$B,Resumo!$B72),SUMIFS('Orçamento 2027 - G&amp;A'!$W:$W,'Orçamento 2027 - G&amp;A'!$B:$B,Resumo!$B72,'Orçamento 2027 - G&amp;A'!$D:$D,Resumo!$C$2))</f>
        <v>0</v>
      </c>
      <c r="D72" s="28">
        <f>IF($C$2="TODOS",SUMIFS('Orçamento 2027 - G&amp;A'!$AK:$AK,'Orçamento 2027 - G&amp;A'!$B:$B,Resumo!$B72),SUMIFS('Orçamento 2027 - G&amp;A'!$AK:$AK,'Orçamento 2027 - G&amp;A'!$B:$B,Resumo!$B72,'Orçamento 2027 - G&amp;A'!$D:$D,Resumo!$C$2))</f>
        <v>0</v>
      </c>
      <c r="E72" s="29">
        <f>IF($C$2="TODOS",SUMIFS('Orçamento 2027 - G&amp;A'!$AX:$AX,'Orçamento 2027 - G&amp;A'!$B:$B,Resumo!$B72),SUMIFS('Orçamento 2027 - G&amp;A'!$AX:$AX,'Orçamento 2027 - G&amp;A'!$B:$B,Resumo!$B72,'Orçamento 2027 - G&amp;A'!$D:$D,Resumo!$C$2))</f>
        <v>0</v>
      </c>
      <c r="F72" s="29" t="str">
        <f t="shared" si="2"/>
        <v>OK</v>
      </c>
    </row>
    <row r="73" spans="2:6">
      <c r="B73" s="30" t="s">
        <v>258</v>
      </c>
      <c r="C73" s="28">
        <f>IF($C$2="TODOS",SUMIFS('Orçamento 2027 - G&amp;A'!$W:$W,'Orçamento 2027 - G&amp;A'!$B:$B,Resumo!$B73),SUMIFS('Orçamento 2027 - G&amp;A'!$W:$W,'Orçamento 2027 - G&amp;A'!$B:$B,Resumo!$B73,'Orçamento 2027 - G&amp;A'!$D:$D,Resumo!$C$2))</f>
        <v>0</v>
      </c>
      <c r="D73" s="28">
        <f>IF($C$2="TODOS",SUMIFS('Orçamento 2027 - G&amp;A'!$AK:$AK,'Orçamento 2027 - G&amp;A'!$B:$B,Resumo!$B73),SUMIFS('Orçamento 2027 - G&amp;A'!$AK:$AK,'Orçamento 2027 - G&amp;A'!$B:$B,Resumo!$B73,'Orçamento 2027 - G&amp;A'!$D:$D,Resumo!$C$2))</f>
        <v>0</v>
      </c>
      <c r="E73" s="29">
        <f>IF($C$2="TODOS",SUMIFS('Orçamento 2027 - G&amp;A'!$AX:$AX,'Orçamento 2027 - G&amp;A'!$B:$B,Resumo!$B73),SUMIFS('Orçamento 2027 - G&amp;A'!$AX:$AX,'Orçamento 2027 - G&amp;A'!$B:$B,Resumo!$B73,'Orçamento 2027 - G&amp;A'!$D:$D,Resumo!$C$2))</f>
        <v>0</v>
      </c>
      <c r="F73" s="29" t="str">
        <f t="shared" si="2"/>
        <v>OK</v>
      </c>
    </row>
    <row r="74" spans="2:6">
      <c r="B74" s="30" t="s">
        <v>261</v>
      </c>
      <c r="C74" s="28">
        <f>IF($C$2="TODOS",SUMIFS('Orçamento 2027 - G&amp;A'!$W:$W,'Orçamento 2027 - G&amp;A'!$B:$B,Resumo!$B74),SUMIFS('Orçamento 2027 - G&amp;A'!$W:$W,'Orçamento 2027 - G&amp;A'!$B:$B,Resumo!$B74,'Orçamento 2027 - G&amp;A'!$D:$D,Resumo!$C$2))</f>
        <v>0</v>
      </c>
      <c r="D74" s="28">
        <f>IF($C$2="TODOS",SUMIFS('Orçamento 2027 - G&amp;A'!$AK:$AK,'Orçamento 2027 - G&amp;A'!$B:$B,Resumo!$B74),SUMIFS('Orçamento 2027 - G&amp;A'!$AK:$AK,'Orçamento 2027 - G&amp;A'!$B:$B,Resumo!$B74,'Orçamento 2027 - G&amp;A'!$D:$D,Resumo!$C$2))</f>
        <v>0</v>
      </c>
      <c r="E74" s="29">
        <f>IF($C$2="TODOS",SUMIFS('Orçamento 2027 - G&amp;A'!$AX:$AX,'Orçamento 2027 - G&amp;A'!$B:$B,Resumo!$B74),SUMIFS('Orçamento 2027 - G&amp;A'!$AX:$AX,'Orçamento 2027 - G&amp;A'!$B:$B,Resumo!$B74,'Orçamento 2027 - G&amp;A'!$D:$D,Resumo!$C$2))</f>
        <v>0</v>
      </c>
      <c r="F74" s="29" t="str">
        <f t="shared" si="2"/>
        <v>OK</v>
      </c>
    </row>
    <row r="75" spans="2:6">
      <c r="B75" s="30" t="s">
        <v>264</v>
      </c>
      <c r="C75" s="28">
        <f>IF($C$2="TODOS",SUMIFS('Orçamento 2027 - G&amp;A'!$W:$W,'Orçamento 2027 - G&amp;A'!$B:$B,Resumo!$B75),SUMIFS('Orçamento 2027 - G&amp;A'!$W:$W,'Orçamento 2027 - G&amp;A'!$B:$B,Resumo!$B75,'Orçamento 2027 - G&amp;A'!$D:$D,Resumo!$C$2))</f>
        <v>0</v>
      </c>
      <c r="D75" s="28">
        <f>IF($C$2="TODOS",SUMIFS('Orçamento 2027 - G&amp;A'!$AK:$AK,'Orçamento 2027 - G&amp;A'!$B:$B,Resumo!$B75),SUMIFS('Orçamento 2027 - G&amp;A'!$AK:$AK,'Orçamento 2027 - G&amp;A'!$B:$B,Resumo!$B75,'Orçamento 2027 - G&amp;A'!$D:$D,Resumo!$C$2))</f>
        <v>0</v>
      </c>
      <c r="E75" s="29">
        <f>IF($C$2="TODOS",SUMIFS('Orçamento 2027 - G&amp;A'!$AX:$AX,'Orçamento 2027 - G&amp;A'!$B:$B,Resumo!$B75),SUMIFS('Orçamento 2027 - G&amp;A'!$AX:$AX,'Orçamento 2027 - G&amp;A'!$B:$B,Resumo!$B75,'Orçamento 2027 - G&amp;A'!$D:$D,Resumo!$C$2))</f>
        <v>0</v>
      </c>
      <c r="F75" s="29" t="str">
        <f t="shared" si="2"/>
        <v>OK</v>
      </c>
    </row>
    <row r="76" spans="2:6">
      <c r="B76" s="30" t="s">
        <v>267</v>
      </c>
      <c r="C76" s="28">
        <f>IF($C$2="TODOS",SUMIFS('Orçamento 2027 - G&amp;A'!$W:$W,'Orçamento 2027 - G&amp;A'!$B:$B,Resumo!$B76),SUMIFS('Orçamento 2027 - G&amp;A'!$W:$W,'Orçamento 2027 - G&amp;A'!$B:$B,Resumo!$B76,'Orçamento 2027 - G&amp;A'!$D:$D,Resumo!$C$2))</f>
        <v>0</v>
      </c>
      <c r="D76" s="28">
        <f>IF($C$2="TODOS",SUMIFS('Orçamento 2027 - G&amp;A'!$AK:$AK,'Orçamento 2027 - G&amp;A'!$B:$B,Resumo!$B76),SUMIFS('Orçamento 2027 - G&amp;A'!$AK:$AK,'Orçamento 2027 - G&amp;A'!$B:$B,Resumo!$B76,'Orçamento 2027 - G&amp;A'!$D:$D,Resumo!$C$2))</f>
        <v>0</v>
      </c>
      <c r="E76" s="29">
        <f>IF($C$2="TODOS",SUMIFS('Orçamento 2027 - G&amp;A'!$AX:$AX,'Orçamento 2027 - G&amp;A'!$B:$B,Resumo!$B76),SUMIFS('Orçamento 2027 - G&amp;A'!$AX:$AX,'Orçamento 2027 - G&amp;A'!$B:$B,Resumo!$B76,'Orçamento 2027 - G&amp;A'!$D:$D,Resumo!$C$2))</f>
        <v>0</v>
      </c>
      <c r="F76" s="29" t="str">
        <f t="shared" si="2"/>
        <v>OK</v>
      </c>
    </row>
    <row r="77" spans="2:6">
      <c r="B77" s="30" t="s">
        <v>270</v>
      </c>
      <c r="C77" s="28">
        <f>IF($C$2="TODOS",SUMIFS('Orçamento 2027 - G&amp;A'!$W:$W,'Orçamento 2027 - G&amp;A'!$B:$B,Resumo!$B77),SUMIFS('Orçamento 2027 - G&amp;A'!$W:$W,'Orçamento 2027 - G&amp;A'!$B:$B,Resumo!$B77,'Orçamento 2027 - G&amp;A'!$D:$D,Resumo!$C$2))</f>
        <v>0</v>
      </c>
      <c r="D77" s="28">
        <f>IF($C$2="TODOS",SUMIFS('Orçamento 2027 - G&amp;A'!$AK:$AK,'Orçamento 2027 - G&amp;A'!$B:$B,Resumo!$B77),SUMIFS('Orçamento 2027 - G&amp;A'!$AK:$AK,'Orçamento 2027 - G&amp;A'!$B:$B,Resumo!$B77,'Orçamento 2027 - G&amp;A'!$D:$D,Resumo!$C$2))</f>
        <v>0</v>
      </c>
      <c r="E77" s="29">
        <f>IF($C$2="TODOS",SUMIFS('Orçamento 2027 - G&amp;A'!$AX:$AX,'Orçamento 2027 - G&amp;A'!$B:$B,Resumo!$B77),SUMIFS('Orçamento 2027 - G&amp;A'!$AX:$AX,'Orçamento 2027 - G&amp;A'!$B:$B,Resumo!$B77,'Orçamento 2027 - G&amp;A'!$D:$D,Resumo!$C$2))</f>
        <v>0</v>
      </c>
      <c r="F77" s="29" t="str">
        <f t="shared" si="2"/>
        <v>OK</v>
      </c>
    </row>
    <row r="78" spans="2:6">
      <c r="B78" s="30" t="s">
        <v>273</v>
      </c>
      <c r="C78" s="28">
        <f>IF($C$2="TODOS",SUMIFS('Orçamento 2027 - G&amp;A'!$W:$W,'Orçamento 2027 - G&amp;A'!$B:$B,Resumo!$B78),SUMIFS('Orçamento 2027 - G&amp;A'!$W:$W,'Orçamento 2027 - G&amp;A'!$B:$B,Resumo!$B78,'Orçamento 2027 - G&amp;A'!$D:$D,Resumo!$C$2))</f>
        <v>0</v>
      </c>
      <c r="D78" s="28">
        <f>IF($C$2="TODOS",SUMIFS('Orçamento 2027 - G&amp;A'!$AK:$AK,'Orçamento 2027 - G&amp;A'!$B:$B,Resumo!$B78),SUMIFS('Orçamento 2027 - G&amp;A'!$AK:$AK,'Orçamento 2027 - G&amp;A'!$B:$B,Resumo!$B78,'Orçamento 2027 - G&amp;A'!$D:$D,Resumo!$C$2))</f>
        <v>0</v>
      </c>
      <c r="E78" s="29">
        <f>IF($C$2="TODOS",SUMIFS('Orçamento 2027 - G&amp;A'!$AX:$AX,'Orçamento 2027 - G&amp;A'!$B:$B,Resumo!$B78),SUMIFS('Orçamento 2027 - G&amp;A'!$AX:$AX,'Orçamento 2027 - G&amp;A'!$B:$B,Resumo!$B78,'Orçamento 2027 - G&amp;A'!$D:$D,Resumo!$C$2))</f>
        <v>0</v>
      </c>
      <c r="F78" s="29" t="str">
        <f t="shared" si="2"/>
        <v>OK</v>
      </c>
    </row>
    <row r="79" spans="2:6">
      <c r="B79" s="30" t="s">
        <v>276</v>
      </c>
      <c r="C79" s="28">
        <f>IF($C$2="TODOS",SUMIFS('Orçamento 2027 - G&amp;A'!$W:$W,'Orçamento 2027 - G&amp;A'!$B:$B,Resumo!$B79),SUMIFS('Orçamento 2027 - G&amp;A'!$W:$W,'Orçamento 2027 - G&amp;A'!$B:$B,Resumo!$B79,'Orçamento 2027 - G&amp;A'!$D:$D,Resumo!$C$2))</f>
        <v>0</v>
      </c>
      <c r="D79" s="28">
        <f>IF($C$2="TODOS",SUMIFS('Orçamento 2027 - G&amp;A'!$AK:$AK,'Orçamento 2027 - G&amp;A'!$B:$B,Resumo!$B79),SUMIFS('Orçamento 2027 - G&amp;A'!$AK:$AK,'Orçamento 2027 - G&amp;A'!$B:$B,Resumo!$B79,'Orçamento 2027 - G&amp;A'!$D:$D,Resumo!$C$2))</f>
        <v>0</v>
      </c>
      <c r="E79" s="29">
        <f>IF($C$2="TODOS",SUMIFS('Orçamento 2027 - G&amp;A'!$AX:$AX,'Orçamento 2027 - G&amp;A'!$B:$B,Resumo!$B79),SUMIFS('Orçamento 2027 - G&amp;A'!$AX:$AX,'Orçamento 2027 - G&amp;A'!$B:$B,Resumo!$B79,'Orçamento 2027 - G&amp;A'!$D:$D,Resumo!$C$2))</f>
        <v>0</v>
      </c>
      <c r="F79" s="29" t="str">
        <f t="shared" si="2"/>
        <v>OK</v>
      </c>
    </row>
    <row r="80" spans="2:6">
      <c r="B80" s="30" t="s">
        <v>279</v>
      </c>
      <c r="C80" s="28">
        <f>IF($C$2="TODOS",SUMIFS('Orçamento 2027 - G&amp;A'!$W:$W,'Orçamento 2027 - G&amp;A'!$B:$B,Resumo!$B80),SUMIFS('Orçamento 2027 - G&amp;A'!$W:$W,'Orçamento 2027 - G&amp;A'!$B:$B,Resumo!$B80,'Orçamento 2027 - G&amp;A'!$D:$D,Resumo!$C$2))</f>
        <v>0</v>
      </c>
      <c r="D80" s="28">
        <f>IF($C$2="TODOS",SUMIFS('Orçamento 2027 - G&amp;A'!$AK:$AK,'Orçamento 2027 - G&amp;A'!$B:$B,Resumo!$B80),SUMIFS('Orçamento 2027 - G&amp;A'!$AK:$AK,'Orçamento 2027 - G&amp;A'!$B:$B,Resumo!$B80,'Orçamento 2027 - G&amp;A'!$D:$D,Resumo!$C$2))</f>
        <v>0</v>
      </c>
      <c r="E80" s="29">
        <f>IF($C$2="TODOS",SUMIFS('Orçamento 2027 - G&amp;A'!$AX:$AX,'Orçamento 2027 - G&amp;A'!$B:$B,Resumo!$B80),SUMIFS('Orçamento 2027 - G&amp;A'!$AX:$AX,'Orçamento 2027 - G&amp;A'!$B:$B,Resumo!$B80,'Orçamento 2027 - G&amp;A'!$D:$D,Resumo!$C$2))</f>
        <v>0</v>
      </c>
      <c r="F80" s="29" t="str">
        <f t="shared" si="2"/>
        <v>OK</v>
      </c>
    </row>
    <row r="81" spans="2:6">
      <c r="B81" s="30" t="s">
        <v>282</v>
      </c>
      <c r="C81" s="28">
        <f>IF($C$2="TODOS",SUMIFS('Orçamento 2027 - G&amp;A'!$W:$W,'Orçamento 2027 - G&amp;A'!$B:$B,Resumo!$B81),SUMIFS('Orçamento 2027 - G&amp;A'!$W:$W,'Orçamento 2027 - G&amp;A'!$B:$B,Resumo!$B81,'Orçamento 2027 - G&amp;A'!$D:$D,Resumo!$C$2))</f>
        <v>0</v>
      </c>
      <c r="D81" s="28">
        <f>IF($C$2="TODOS",SUMIFS('Orçamento 2027 - G&amp;A'!$AK:$AK,'Orçamento 2027 - G&amp;A'!$B:$B,Resumo!$B81),SUMIFS('Orçamento 2027 - G&amp;A'!$AK:$AK,'Orçamento 2027 - G&amp;A'!$B:$B,Resumo!$B81,'Orçamento 2027 - G&amp;A'!$D:$D,Resumo!$C$2))</f>
        <v>0</v>
      </c>
      <c r="E81" s="29">
        <f>IF($C$2="TODOS",SUMIFS('Orçamento 2027 - G&amp;A'!$AX:$AX,'Orçamento 2027 - G&amp;A'!$B:$B,Resumo!$B81),SUMIFS('Orçamento 2027 - G&amp;A'!$AX:$AX,'Orçamento 2027 - G&amp;A'!$B:$B,Resumo!$B81,'Orçamento 2027 - G&amp;A'!$D:$D,Resumo!$C$2))</f>
        <v>0</v>
      </c>
      <c r="F81" s="29" t="str">
        <f t="shared" si="2"/>
        <v>OK</v>
      </c>
    </row>
    <row r="82" spans="2:6">
      <c r="B82" s="30" t="s">
        <v>285</v>
      </c>
      <c r="C82" s="28">
        <f>IF($C$2="TODOS",SUMIFS('Orçamento 2027 - G&amp;A'!$W:$W,'Orçamento 2027 - G&amp;A'!$B:$B,Resumo!$B82),SUMIFS('Orçamento 2027 - G&amp;A'!$W:$W,'Orçamento 2027 - G&amp;A'!$B:$B,Resumo!$B82,'Orçamento 2027 - G&amp;A'!$D:$D,Resumo!$C$2))</f>
        <v>0</v>
      </c>
      <c r="D82" s="28">
        <f>IF($C$2="TODOS",SUMIFS('Orçamento 2027 - G&amp;A'!$AK:$AK,'Orçamento 2027 - G&amp;A'!$B:$B,Resumo!$B82),SUMIFS('Orçamento 2027 - G&amp;A'!$AK:$AK,'Orçamento 2027 - G&amp;A'!$B:$B,Resumo!$B82,'Orçamento 2027 - G&amp;A'!$D:$D,Resumo!$C$2))</f>
        <v>0</v>
      </c>
      <c r="E82" s="29">
        <f>IF($C$2="TODOS",SUMIFS('Orçamento 2027 - G&amp;A'!$AX:$AX,'Orçamento 2027 - G&amp;A'!$B:$B,Resumo!$B82),SUMIFS('Orçamento 2027 - G&amp;A'!$AX:$AX,'Orçamento 2027 - G&amp;A'!$B:$B,Resumo!$B82,'Orçamento 2027 - G&amp;A'!$D:$D,Resumo!$C$2))</f>
        <v>0</v>
      </c>
      <c r="F82" s="29" t="str">
        <f t="shared" si="2"/>
        <v>OK</v>
      </c>
    </row>
    <row r="83" spans="2:6">
      <c r="B83" s="30" t="s">
        <v>288</v>
      </c>
      <c r="C83" s="28">
        <f>IF($C$2="TODOS",SUMIFS('Orçamento 2027 - G&amp;A'!$W:$W,'Orçamento 2027 - G&amp;A'!$B:$B,Resumo!$B83),SUMIFS('Orçamento 2027 - G&amp;A'!$W:$W,'Orçamento 2027 - G&amp;A'!$B:$B,Resumo!$B83,'Orçamento 2027 - G&amp;A'!$D:$D,Resumo!$C$2))</f>
        <v>0</v>
      </c>
      <c r="D83" s="28">
        <f>IF($C$2="TODOS",SUMIFS('Orçamento 2027 - G&amp;A'!$AK:$AK,'Orçamento 2027 - G&amp;A'!$B:$B,Resumo!$B83),SUMIFS('Orçamento 2027 - G&amp;A'!$AK:$AK,'Orçamento 2027 - G&amp;A'!$B:$B,Resumo!$B83,'Orçamento 2027 - G&amp;A'!$D:$D,Resumo!$C$2))</f>
        <v>0</v>
      </c>
      <c r="E83" s="29">
        <f>IF($C$2="TODOS",SUMIFS('Orçamento 2027 - G&amp;A'!$AX:$AX,'Orçamento 2027 - G&amp;A'!$B:$B,Resumo!$B83),SUMIFS('Orçamento 2027 - G&amp;A'!$AX:$AX,'Orçamento 2027 - G&amp;A'!$B:$B,Resumo!$B83,'Orçamento 2027 - G&amp;A'!$D:$D,Resumo!$C$2))</f>
        <v>0</v>
      </c>
      <c r="F83" s="29" t="str">
        <f t="shared" si="2"/>
        <v>OK</v>
      </c>
    </row>
    <row r="84" spans="2:6">
      <c r="B84" s="30" t="s">
        <v>291</v>
      </c>
      <c r="C84" s="28">
        <f>IF($C$2="TODOS",SUMIFS('Orçamento 2027 - G&amp;A'!$W:$W,'Orçamento 2027 - G&amp;A'!$B:$B,Resumo!$B84),SUMIFS('Orçamento 2027 - G&amp;A'!$W:$W,'Orçamento 2027 - G&amp;A'!$B:$B,Resumo!$B84,'Orçamento 2027 - G&amp;A'!$D:$D,Resumo!$C$2))</f>
        <v>0</v>
      </c>
      <c r="D84" s="28">
        <f>IF($C$2="TODOS",SUMIFS('Orçamento 2027 - G&amp;A'!$AK:$AK,'Orçamento 2027 - G&amp;A'!$B:$B,Resumo!$B84),SUMIFS('Orçamento 2027 - G&amp;A'!$AK:$AK,'Orçamento 2027 - G&amp;A'!$B:$B,Resumo!$B84,'Orçamento 2027 - G&amp;A'!$D:$D,Resumo!$C$2))</f>
        <v>0</v>
      </c>
      <c r="E84" s="29">
        <f>IF($C$2="TODOS",SUMIFS('Orçamento 2027 - G&amp;A'!$AX:$AX,'Orçamento 2027 - G&amp;A'!$B:$B,Resumo!$B84),SUMIFS('Orçamento 2027 - G&amp;A'!$AX:$AX,'Orçamento 2027 - G&amp;A'!$B:$B,Resumo!$B84,'Orçamento 2027 - G&amp;A'!$D:$D,Resumo!$C$2))</f>
        <v>0</v>
      </c>
      <c r="F84" s="29" t="str">
        <f t="shared" si="2"/>
        <v>OK</v>
      </c>
    </row>
  </sheetData>
  <mergeCells count="1">
    <mergeCell ref="C3:F3"/>
  </mergeCells>
  <conditionalFormatting sqref="F6:F84">
    <cfRule type="containsText" dxfId="81" priority="1" operator="containsText" text="OK">
      <formula>NOT(ISERROR(SEARCH("OK",F6)))</formula>
    </cfRule>
    <cfRule type="containsText" dxfId="80" priority="2" operator="containsText" text="PENDENTE">
      <formula>NOT(ISERROR(SEARCH("PENDENTE",F6)))</formula>
    </cfRule>
  </conditionalFormatting>
  <dataValidations count="1">
    <dataValidation type="list" allowBlank="1" showInputMessage="1" showErrorMessage="1" sqref="C2" xr:uid="{5CD75F43-1A4A-4CD8-BAE2-BE6DE1E3E6DD}">
      <formula1>$XFD$3:$XFD$5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768-6AD8-4548-9104-102F86B0F329}">
  <sheetPr>
    <tabColor theme="3"/>
  </sheetPr>
  <dimension ref="A1:BB68"/>
  <sheetViews>
    <sheetView showGridLines="0" tabSelected="1" topLeftCell="H55" zoomScale="85" zoomScaleNormal="85" workbookViewId="0">
      <selection activeCell="BA69" sqref="BA69"/>
    </sheetView>
  </sheetViews>
  <sheetFormatPr defaultColWidth="8.7109375" defaultRowHeight="15" outlineLevelCol="1"/>
  <cols>
    <col min="1" max="1" width="9.42578125" style="3" customWidth="1"/>
    <col min="2" max="2" width="22.85546875" style="3" bestFit="1" customWidth="1"/>
    <col min="3" max="3" width="18.140625" style="3" bestFit="1" customWidth="1"/>
    <col min="4" max="4" width="14" style="3" customWidth="1"/>
    <col min="5" max="5" width="11.42578125" style="3" bestFit="1" customWidth="1"/>
    <col min="6" max="6" width="21" style="3" customWidth="1"/>
    <col min="7" max="7" width="15" style="3" customWidth="1"/>
    <col min="8" max="8" width="44.42578125" style="3" bestFit="1" customWidth="1"/>
    <col min="9" max="9" width="11.85546875" style="3" bestFit="1" customWidth="1"/>
    <col min="10" max="10" width="44.7109375" style="3" bestFit="1" customWidth="1"/>
    <col min="11" max="22" width="12" style="3" hidden="1" customWidth="1" outlineLevel="1"/>
    <col min="23" max="23" width="16.5703125" style="3" customWidth="1" collapsed="1"/>
    <col min="24" max="35" width="12" style="3" hidden="1" customWidth="1" outlineLevel="1"/>
    <col min="36" max="36" width="15" style="3" hidden="1" customWidth="1" outlineLevel="1"/>
    <col min="37" max="37" width="16.5703125" style="3" customWidth="1" collapsed="1"/>
    <col min="38" max="49" width="12" style="3" customWidth="1" outlineLevel="1"/>
    <col min="50" max="50" width="13.140625" style="3" customWidth="1"/>
    <col min="51" max="52" width="16" style="3" customWidth="1"/>
    <col min="53" max="53" width="32" style="59" customWidth="1"/>
    <col min="54" max="54" width="14" style="3" hidden="1" customWidth="1"/>
    <col min="55" max="16384" width="8.7109375" style="3"/>
  </cols>
  <sheetData>
    <row r="1" spans="1:54" ht="14.45">
      <c r="A1" s="62" t="s">
        <v>540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</row>
    <row r="2" spans="1:54" ht="14.4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</row>
    <row r="3" spans="1:54" ht="33.950000000000003" customHeight="1">
      <c r="A3" s="63" t="s">
        <v>541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</row>
    <row r="4" spans="1:54">
      <c r="A4" s="64" t="s">
        <v>542</v>
      </c>
      <c r="B4" s="64"/>
      <c r="C4" s="64"/>
      <c r="D4" s="64"/>
      <c r="E4" s="64"/>
      <c r="F4" s="64"/>
      <c r="G4" s="64"/>
      <c r="H4" s="64"/>
    </row>
    <row r="6" spans="1:54" ht="24" customHeight="1">
      <c r="A6" s="65" t="s">
        <v>543</v>
      </c>
      <c r="B6" s="65"/>
      <c r="C6" s="65"/>
      <c r="D6" s="65"/>
      <c r="E6" s="65"/>
      <c r="F6" s="65"/>
      <c r="G6" s="65"/>
      <c r="H6" s="65"/>
      <c r="I6" s="65"/>
      <c r="J6" s="16"/>
      <c r="K6" s="65" t="s">
        <v>544</v>
      </c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16"/>
      <c r="X6" s="65" t="s">
        <v>545</v>
      </c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6" t="s">
        <v>546</v>
      </c>
      <c r="AK6" s="66"/>
      <c r="AL6" s="65" t="s">
        <v>547</v>
      </c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6" t="s">
        <v>548</v>
      </c>
      <c r="AY6" s="66"/>
      <c r="AZ6" s="66"/>
      <c r="BA6" s="65" t="s">
        <v>549</v>
      </c>
      <c r="BB6" s="65"/>
    </row>
    <row r="7" spans="1:54" ht="31.5">
      <c r="A7" s="15" t="s">
        <v>550</v>
      </c>
      <c r="B7" s="14" t="s">
        <v>6</v>
      </c>
      <c r="C7" s="14" t="s">
        <v>8</v>
      </c>
      <c r="D7" s="14" t="s">
        <v>551</v>
      </c>
      <c r="E7" s="14" t="s">
        <v>10</v>
      </c>
      <c r="F7" s="14" t="s">
        <v>552</v>
      </c>
      <c r="G7" s="14" t="str">
        <f>IF($H7="","",IFERROR(_xlfn.XLOOKUP(H7,'De x Para DRE'!C:C,'De x Para DRE'!B:B),""))</f>
        <v>Código da conta</v>
      </c>
      <c r="H7" s="14" t="s">
        <v>553</v>
      </c>
      <c r="I7" s="14" t="s">
        <v>554</v>
      </c>
      <c r="J7" s="14" t="s">
        <v>555</v>
      </c>
      <c r="K7" s="14" t="s">
        <v>556</v>
      </c>
      <c r="L7" s="14" t="s">
        <v>557</v>
      </c>
      <c r="M7" s="14" t="s">
        <v>558</v>
      </c>
      <c r="N7" s="14" t="s">
        <v>559</v>
      </c>
      <c r="O7" s="14" t="s">
        <v>560</v>
      </c>
      <c r="P7" s="14" t="s">
        <v>561</v>
      </c>
      <c r="Q7" s="14" t="s">
        <v>562</v>
      </c>
      <c r="R7" s="14" t="s">
        <v>563</v>
      </c>
      <c r="S7" s="14" t="s">
        <v>564</v>
      </c>
      <c r="T7" s="14" t="s">
        <v>565</v>
      </c>
      <c r="U7" s="14" t="s">
        <v>566</v>
      </c>
      <c r="V7" s="14" t="s">
        <v>567</v>
      </c>
      <c r="W7" s="14" t="s">
        <v>535</v>
      </c>
      <c r="X7" s="14" t="s">
        <v>556</v>
      </c>
      <c r="Y7" s="14" t="s">
        <v>557</v>
      </c>
      <c r="Z7" s="14" t="s">
        <v>558</v>
      </c>
      <c r="AA7" s="14" t="s">
        <v>559</v>
      </c>
      <c r="AB7" s="14" t="s">
        <v>560</v>
      </c>
      <c r="AC7" s="14" t="s">
        <v>561</v>
      </c>
      <c r="AD7" s="14" t="s">
        <v>562</v>
      </c>
      <c r="AE7" s="14" t="s">
        <v>563</v>
      </c>
      <c r="AF7" s="14" t="s">
        <v>564</v>
      </c>
      <c r="AG7" s="14" t="s">
        <v>565</v>
      </c>
      <c r="AH7" s="14" t="s">
        <v>566</v>
      </c>
      <c r="AI7" s="14" t="s">
        <v>567</v>
      </c>
      <c r="AJ7" s="14" t="s">
        <v>568</v>
      </c>
      <c r="AK7" s="14" t="s">
        <v>569</v>
      </c>
      <c r="AL7" s="14" t="s">
        <v>556</v>
      </c>
      <c r="AM7" s="14" t="s">
        <v>557</v>
      </c>
      <c r="AN7" s="14" t="s">
        <v>558</v>
      </c>
      <c r="AO7" s="14" t="s">
        <v>559</v>
      </c>
      <c r="AP7" s="14" t="s">
        <v>560</v>
      </c>
      <c r="AQ7" s="14" t="s">
        <v>561</v>
      </c>
      <c r="AR7" s="14" t="s">
        <v>562</v>
      </c>
      <c r="AS7" s="14" t="s">
        <v>563</v>
      </c>
      <c r="AT7" s="14" t="s">
        <v>564</v>
      </c>
      <c r="AU7" s="14" t="s">
        <v>565</v>
      </c>
      <c r="AV7" s="14" t="s">
        <v>566</v>
      </c>
      <c r="AW7" s="14" t="s">
        <v>567</v>
      </c>
      <c r="AX7" s="14" t="s">
        <v>537</v>
      </c>
      <c r="AY7" s="14" t="s">
        <v>570</v>
      </c>
      <c r="AZ7" s="14" t="s">
        <v>571</v>
      </c>
      <c r="BA7" s="14" t="s">
        <v>572</v>
      </c>
      <c r="BB7" s="13" t="s">
        <v>538</v>
      </c>
    </row>
    <row r="8" spans="1:54">
      <c r="A8" s="11">
        <f t="shared" ref="A8:A39" si="0">IF(OR($B8="",$D8="",$G8=""),"",ROW()-7)</f>
        <v>1</v>
      </c>
      <c r="B8" s="6" t="s">
        <v>13</v>
      </c>
      <c r="C8" s="10" t="str">
        <f>IF($B8="","",IFERROR(INDEX(Apoio!$L$3:$L$81,MATCH($B8,Apoio!$K$3:$K$81,0)),""))</f>
        <v>COMERCIALIZADORA</v>
      </c>
      <c r="D8" s="6" t="s">
        <v>34</v>
      </c>
      <c r="E8" s="10" t="str">
        <f>IF($D8="","",IFERROR(INDEX(Apoio!$C$3:$C$81,MATCH($D8,Apoio!$B$3:$B$81,0)),""))</f>
        <v>TI</v>
      </c>
      <c r="F8" s="10" t="str">
        <f>IF($D8="","",IFERROR(INDEX(Apoio!$D$3:$D$81,MATCH($D8,Apoio!$B$3:$B$81,0)),""))</f>
        <v>Marcelo Bronzatti</v>
      </c>
      <c r="G8" s="10">
        <f>IF($H8="","",IFERROR(_xlfn.XLOOKUP(H8,'De x Para DRE'!C:C,'De x Para DRE'!B:B),""))</f>
        <v>5110100702</v>
      </c>
      <c r="H8" s="6" t="s">
        <v>460</v>
      </c>
      <c r="I8" s="10" t="str">
        <f>IF($G8="","",IFERROR(INDEX('De x Para DRE'!$E$3:$E$210,MATCH($G8,'De x Para DRE'!$B$3:$B$210,0)),""))</f>
        <v>3.1 G&amp;A</v>
      </c>
      <c r="J8" s="6" t="s">
        <v>573</v>
      </c>
      <c r="K8" s="9">
        <v>30600</v>
      </c>
      <c r="L8" s="9">
        <v>30600</v>
      </c>
      <c r="M8" s="9">
        <v>30600</v>
      </c>
      <c r="N8" s="9">
        <v>30600</v>
      </c>
      <c r="O8" s="9">
        <v>30600</v>
      </c>
      <c r="P8" s="9">
        <v>30600</v>
      </c>
      <c r="Q8" s="9"/>
      <c r="R8" s="9"/>
      <c r="S8" s="9"/>
      <c r="T8" s="9"/>
      <c r="U8" s="9"/>
      <c r="V8" s="9"/>
      <c r="W8" s="8">
        <f t="shared" ref="W8:W39" si="1">SUM(K8:V8)</f>
        <v>183600</v>
      </c>
      <c r="X8" s="9">
        <v>29404.52</v>
      </c>
      <c r="Y8" s="9">
        <v>30658.449999999997</v>
      </c>
      <c r="Z8" s="9">
        <v>30658.449999999997</v>
      </c>
      <c r="AA8" s="9">
        <v>30658.45</v>
      </c>
      <c r="AB8" s="9">
        <f>25604.15+5054.3</f>
        <v>30658.45</v>
      </c>
      <c r="AC8" s="9">
        <f>2381.25+458.84+22764.06+5054.3</f>
        <v>30658.45</v>
      </c>
      <c r="AD8" s="9">
        <v>0</v>
      </c>
      <c r="AE8" s="9">
        <v>0</v>
      </c>
      <c r="AF8" s="12" t="s">
        <v>574</v>
      </c>
      <c r="AG8" s="9">
        <v>0</v>
      </c>
      <c r="AH8" s="9">
        <v>0</v>
      </c>
      <c r="AI8" s="9">
        <v>0</v>
      </c>
      <c r="AJ8" s="8">
        <f t="shared" ref="AJ8:AJ39" si="2">SUM(X8:AE8)</f>
        <v>182696.77000000002</v>
      </c>
      <c r="AK8" s="8">
        <f t="shared" ref="AK8:AK39" si="3">SUM(X8:AI8)</f>
        <v>182696.77000000002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8">
        <f>IF(COUNT($AL8:$AW8)=0,"",SUM($AL8:$AW8))</f>
        <v>0</v>
      </c>
      <c r="AY8" s="7">
        <f>IF($AX8="","",$AX8-IF($W8="",0,$W8))</f>
        <v>-183600</v>
      </c>
      <c r="AZ8" s="7">
        <f t="shared" ref="AZ8:AZ27" si="4">IF($AX8="","",$AX8-IF($AK8="",0,$AK8))</f>
        <v>-182696.77000000002</v>
      </c>
      <c r="BA8" s="46"/>
      <c r="BB8" s="5" t="s">
        <v>575</v>
      </c>
    </row>
    <row r="9" spans="1:54">
      <c r="A9" s="11">
        <f t="shared" si="0"/>
        <v>2</v>
      </c>
      <c r="B9" s="6" t="s">
        <v>13</v>
      </c>
      <c r="C9" s="10" t="str">
        <f>IF($B9="","",IFERROR(INDEX(Apoio!$L$3:$L$81,MATCH($B9,Apoio!$K$3:$K$81,0)),""))</f>
        <v>COMERCIALIZADORA</v>
      </c>
      <c r="D9" s="6" t="s">
        <v>34</v>
      </c>
      <c r="E9" s="10" t="str">
        <f>IF($D9="","",IFERROR(INDEX(Apoio!$C$3:$C$81,MATCH($D9,Apoio!$B$3:$B$81,0)),""))</f>
        <v>TI</v>
      </c>
      <c r="F9" s="10" t="str">
        <f>IF($D9="","",IFERROR(INDEX(Apoio!$D$3:$D$81,MATCH($D9,Apoio!$B$3:$B$81,0)),""))</f>
        <v>Marcelo Bronzatti</v>
      </c>
      <c r="G9" s="10">
        <f>IF($H9="","",IFERROR(_xlfn.XLOOKUP(H9,'De x Para DRE'!C:C,'De x Para DRE'!B:B),""))</f>
        <v>5110100702</v>
      </c>
      <c r="H9" s="6" t="s">
        <v>460</v>
      </c>
      <c r="I9" s="10" t="str">
        <f>IF($G9="","",IFERROR(INDEX('De x Para DRE'!$E$3:$E$210,MATCH($G9,'De x Para DRE'!$B$3:$B$210,0)),""))</f>
        <v>3.1 G&amp;A</v>
      </c>
      <c r="J9" s="6" t="s">
        <v>576</v>
      </c>
      <c r="K9" s="9"/>
      <c r="L9" s="9"/>
      <c r="M9" s="9">
        <v>4000</v>
      </c>
      <c r="N9" s="9">
        <v>4000</v>
      </c>
      <c r="O9" s="9">
        <f>4000+2720+3685.13</f>
        <v>10405.130000000001</v>
      </c>
      <c r="P9" s="9">
        <f>4000+2720+3685.13</f>
        <v>10405.130000000001</v>
      </c>
      <c r="Q9" s="9">
        <f>4000+2720+3685.13+16716</f>
        <v>27121.13</v>
      </c>
      <c r="R9" s="9">
        <f>4000+2720+3685.13+16716</f>
        <v>27121.13</v>
      </c>
      <c r="S9" s="9">
        <f>4000+2720+3685.13+16716</f>
        <v>27121.13</v>
      </c>
      <c r="T9" s="9">
        <f>4000+2720+3685.13+16716</f>
        <v>27121.13</v>
      </c>
      <c r="U9" s="9">
        <f>4000+16716</f>
        <v>20716</v>
      </c>
      <c r="V9" s="9">
        <f>4000+16716</f>
        <v>20716</v>
      </c>
      <c r="W9" s="8">
        <f t="shared" si="1"/>
        <v>178726.78</v>
      </c>
      <c r="X9" s="9">
        <f>2975.75</f>
        <v>2975.75</v>
      </c>
      <c r="Y9" s="9">
        <f>2975.75</f>
        <v>2975.75</v>
      </c>
      <c r="Z9" s="9"/>
      <c r="AA9" s="9">
        <f>5029.16+3202.57+16716</f>
        <v>24947.73</v>
      </c>
      <c r="AB9" s="9">
        <f>3202.57+16716+5029.16</f>
        <v>24947.73</v>
      </c>
      <c r="AC9" s="9">
        <f>3202.57+15251+5029.16</f>
        <v>23482.73</v>
      </c>
      <c r="AD9" s="9">
        <f>15251+5029.16+3202.57</f>
        <v>23482.73</v>
      </c>
      <c r="AE9" s="9">
        <v>23482.73</v>
      </c>
      <c r="AF9" s="9">
        <v>23482.73</v>
      </c>
      <c r="AG9" s="9">
        <v>23482.73</v>
      </c>
      <c r="AH9" s="9">
        <v>23482.73</v>
      </c>
      <c r="AI9" s="9">
        <v>23482.73</v>
      </c>
      <c r="AJ9" s="8">
        <f t="shared" si="2"/>
        <v>126295.15</v>
      </c>
      <c r="AK9" s="8">
        <f t="shared" si="3"/>
        <v>220226.07000000004</v>
      </c>
      <c r="AL9" s="9">
        <v>16000</v>
      </c>
      <c r="AM9" s="9">
        <v>16000</v>
      </c>
      <c r="AN9" s="9">
        <v>16000</v>
      </c>
      <c r="AO9" s="9">
        <v>16000</v>
      </c>
      <c r="AP9" s="9">
        <v>16000</v>
      </c>
      <c r="AQ9" s="9">
        <v>16000</v>
      </c>
      <c r="AR9" s="9">
        <v>16000</v>
      </c>
      <c r="AS9" s="9">
        <v>16000</v>
      </c>
      <c r="AT9" s="9">
        <v>16000</v>
      </c>
      <c r="AU9" s="9">
        <v>16000</v>
      </c>
      <c r="AV9" s="9">
        <v>16000</v>
      </c>
      <c r="AW9" s="9">
        <v>16000</v>
      </c>
      <c r="AX9" s="8">
        <f t="shared" ref="AX9:AX68" si="5">IF(COUNT($AL9:$AW9)=0,"",SUM($AL9:$AW9))</f>
        <v>192000</v>
      </c>
      <c r="AY9" s="7">
        <f t="shared" ref="AY9:AY56" si="6">IF($AX9="","",$AX9-IF($W9="",0,$W9))</f>
        <v>13273.220000000001</v>
      </c>
      <c r="AZ9" s="7">
        <f t="shared" si="4"/>
        <v>-28226.070000000036</v>
      </c>
      <c r="BA9" s="46" t="s">
        <v>577</v>
      </c>
      <c r="BB9" s="5" t="s">
        <v>575</v>
      </c>
    </row>
    <row r="10" spans="1:54">
      <c r="A10" s="11">
        <f t="shared" si="0"/>
        <v>3</v>
      </c>
      <c r="B10" s="6" t="s">
        <v>13</v>
      </c>
      <c r="C10" s="10" t="str">
        <f>IF($B10="","",IFERROR(INDEX(Apoio!$L$3:$L$81,MATCH($B10,Apoio!$K$3:$K$81,0)),""))</f>
        <v>COMERCIALIZADORA</v>
      </c>
      <c r="D10" s="6" t="s">
        <v>34</v>
      </c>
      <c r="E10" s="10" t="str">
        <f>IF($D10="","",IFERROR(INDEX(Apoio!$C$3:$C$81,MATCH($D10,Apoio!$B$3:$B$81,0)),""))</f>
        <v>TI</v>
      </c>
      <c r="F10" s="10" t="str">
        <f>IF($D10="","",IFERROR(INDEX(Apoio!$D$3:$D$81,MATCH($D10,Apoio!$B$3:$B$81,0)),""))</f>
        <v>Marcelo Bronzatti</v>
      </c>
      <c r="G10" s="10">
        <f>IF($H10="","",IFERROR(_xlfn.XLOOKUP(H10,'De x Para DRE'!C:C,'De x Para DRE'!B:B),""))</f>
        <v>5110100702</v>
      </c>
      <c r="H10" s="6" t="s">
        <v>460</v>
      </c>
      <c r="I10" s="10" t="str">
        <f>IF($G10="","",IFERROR(INDEX('De x Para DRE'!$E$3:$E$210,MATCH($G10,'De x Para DRE'!$B$3:$B$210,0)),""))</f>
        <v>3.1 G&amp;A</v>
      </c>
      <c r="J10" s="6" t="s">
        <v>578</v>
      </c>
      <c r="K10" s="9">
        <v>1950</v>
      </c>
      <c r="L10" s="9">
        <v>1950</v>
      </c>
      <c r="M10" s="9">
        <v>1950</v>
      </c>
      <c r="N10" s="9">
        <v>1950</v>
      </c>
      <c r="O10" s="9">
        <v>1950</v>
      </c>
      <c r="P10" s="9">
        <v>1950</v>
      </c>
      <c r="Q10" s="9">
        <v>2047.5</v>
      </c>
      <c r="R10" s="9">
        <v>2047.5</v>
      </c>
      <c r="S10" s="9">
        <v>2047.5</v>
      </c>
      <c r="T10" s="9">
        <v>2047.5</v>
      </c>
      <c r="U10" s="9">
        <v>2047.5</v>
      </c>
      <c r="V10" s="9">
        <v>2047.5</v>
      </c>
      <c r="W10" s="8">
        <f t="shared" si="1"/>
        <v>23985</v>
      </c>
      <c r="X10" s="9">
        <v>1950</v>
      </c>
      <c r="Y10" s="9">
        <v>1950</v>
      </c>
      <c r="Z10" s="9">
        <v>1950</v>
      </c>
      <c r="AA10" s="9">
        <v>1950</v>
      </c>
      <c r="AB10" s="9">
        <v>1950</v>
      </c>
      <c r="AC10" s="9"/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8">
        <f t="shared" si="2"/>
        <v>9750</v>
      </c>
      <c r="AK10" s="8">
        <f t="shared" si="3"/>
        <v>9750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8">
        <f t="shared" si="5"/>
        <v>0</v>
      </c>
      <c r="AY10" s="7">
        <f t="shared" si="6"/>
        <v>-23985</v>
      </c>
      <c r="AZ10" s="7">
        <f t="shared" si="4"/>
        <v>-9750</v>
      </c>
      <c r="BA10" s="46"/>
      <c r="BB10" s="5" t="s">
        <v>575</v>
      </c>
    </row>
    <row r="11" spans="1:54">
      <c r="A11" s="11">
        <f t="shared" si="0"/>
        <v>4</v>
      </c>
      <c r="B11" s="6" t="s">
        <v>13</v>
      </c>
      <c r="C11" s="10" t="str">
        <f>IF($B11="","",IFERROR(INDEX(Apoio!$L$3:$L$81,MATCH($B11,Apoio!$K$3:$K$81,0)),""))</f>
        <v>COMERCIALIZADORA</v>
      </c>
      <c r="D11" s="6" t="s">
        <v>34</v>
      </c>
      <c r="E11" s="10" t="str">
        <f>IF($D11="","",IFERROR(INDEX(Apoio!$C$3:$C$81,MATCH($D11,Apoio!$B$3:$B$81,0)),""))</f>
        <v>TI</v>
      </c>
      <c r="F11" s="10" t="str">
        <f>IF($D11="","",IFERROR(INDEX(Apoio!$D$3:$D$81,MATCH($D11,Apoio!$B$3:$B$81,0)),""))</f>
        <v>Marcelo Bronzatti</v>
      </c>
      <c r="G11" s="10">
        <f>IF($H11="","",IFERROR(_xlfn.XLOOKUP(H11,'De x Para DRE'!C:C,'De x Para DRE'!B:B),""))</f>
        <v>5110100702</v>
      </c>
      <c r="H11" s="6" t="s">
        <v>460</v>
      </c>
      <c r="I11" s="10" t="str">
        <f>IF($G11="","",IFERROR(INDEX('De x Para DRE'!$E$3:$E$210,MATCH($G11,'De x Para DRE'!$B$3:$B$210,0)),""))</f>
        <v>3.1 G&amp;A</v>
      </c>
      <c r="J11" s="6" t="s">
        <v>579</v>
      </c>
      <c r="K11" s="9">
        <v>7234</v>
      </c>
      <c r="L11" s="9">
        <v>7234</v>
      </c>
      <c r="M11" s="9">
        <v>7234</v>
      </c>
      <c r="N11" s="9">
        <v>7547.02</v>
      </c>
      <c r="O11" s="9">
        <v>7547.02</v>
      </c>
      <c r="P11" s="9">
        <v>7547.02</v>
      </c>
      <c r="Q11" s="9">
        <v>7547.02</v>
      </c>
      <c r="R11" s="9">
        <v>7547.02</v>
      </c>
      <c r="S11" s="9">
        <v>7547.02</v>
      </c>
      <c r="T11" s="9">
        <v>7547.02</v>
      </c>
      <c r="U11" s="9">
        <v>7547.02</v>
      </c>
      <c r="V11" s="9">
        <v>7547.02</v>
      </c>
      <c r="W11" s="8">
        <f t="shared" si="1"/>
        <v>89625.180000000022</v>
      </c>
      <c r="X11" s="9">
        <v>7233.5</v>
      </c>
      <c r="Y11" s="9">
        <v>7233.5</v>
      </c>
      <c r="Z11" s="9">
        <v>7233.5</v>
      </c>
      <c r="AA11" s="9">
        <v>15089.08</v>
      </c>
      <c r="AB11" s="9">
        <v>7544.54</v>
      </c>
      <c r="AC11" s="9">
        <v>7544.54</v>
      </c>
      <c r="AD11" s="9">
        <v>5014.46</v>
      </c>
      <c r="AE11" s="9">
        <v>5014.46</v>
      </c>
      <c r="AF11" s="9">
        <v>5014.46</v>
      </c>
      <c r="AG11" s="9">
        <v>5014.46</v>
      </c>
      <c r="AH11" s="9">
        <v>5014.46</v>
      </c>
      <c r="AI11" s="9">
        <v>5014.46</v>
      </c>
      <c r="AJ11" s="8">
        <f t="shared" si="2"/>
        <v>61907.58</v>
      </c>
      <c r="AK11" s="8">
        <f t="shared" si="3"/>
        <v>81965.420000000027</v>
      </c>
      <c r="AL11" s="9">
        <v>5015</v>
      </c>
      <c r="AM11" s="9">
        <v>5015</v>
      </c>
      <c r="AN11" s="9">
        <v>5015</v>
      </c>
      <c r="AO11" s="9">
        <v>5015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8">
        <f t="shared" si="5"/>
        <v>20060</v>
      </c>
      <c r="AY11" s="7">
        <f t="shared" si="6"/>
        <v>-69565.180000000022</v>
      </c>
      <c r="AZ11" s="7">
        <f t="shared" si="4"/>
        <v>-61905.420000000027</v>
      </c>
      <c r="BA11" s="46" t="s">
        <v>580</v>
      </c>
      <c r="BB11" s="5" t="s">
        <v>575</v>
      </c>
    </row>
    <row r="12" spans="1:54" ht="43.5">
      <c r="A12" s="11">
        <f t="shared" si="0"/>
        <v>5</v>
      </c>
      <c r="B12" s="6" t="s">
        <v>13</v>
      </c>
      <c r="C12" s="10" t="str">
        <f>IF($B12="","",IFERROR(INDEX(Apoio!$L$3:$L$81,MATCH($B12,Apoio!$K$3:$K$81,0)),""))</f>
        <v>COMERCIALIZADORA</v>
      </c>
      <c r="D12" s="6" t="s">
        <v>34</v>
      </c>
      <c r="E12" s="10" t="str">
        <f>IF($D12="","",IFERROR(INDEX(Apoio!$C$3:$C$81,MATCH($D12,Apoio!$B$3:$B$81,0)),""))</f>
        <v>TI</v>
      </c>
      <c r="F12" s="10" t="str">
        <f>IF($D12="","",IFERROR(INDEX(Apoio!$D$3:$D$81,MATCH($D12,Apoio!$B$3:$B$81,0)),""))</f>
        <v>Marcelo Bronzatti</v>
      </c>
      <c r="G12" s="10">
        <f>IF($H12="","",IFERROR(_xlfn.XLOOKUP(H12,'De x Para DRE'!C:C,'De x Para DRE'!B:B),""))</f>
        <v>5110100702</v>
      </c>
      <c r="H12" s="6" t="s">
        <v>460</v>
      </c>
      <c r="I12" s="10" t="str">
        <f>IF($G12="","",IFERROR(INDEX('De x Para DRE'!$E$3:$E$210,MATCH($G12,'De x Para DRE'!$B$3:$B$210,0)),""))</f>
        <v>3.1 G&amp;A</v>
      </c>
      <c r="J12" s="6" t="s">
        <v>581</v>
      </c>
      <c r="K12" s="9">
        <v>4232</v>
      </c>
      <c r="L12" s="9">
        <v>4232</v>
      </c>
      <c r="M12" s="9">
        <v>4232</v>
      </c>
      <c r="N12" s="9">
        <f>4232+5894</f>
        <v>10126</v>
      </c>
      <c r="O12" s="9">
        <f>4232+5894</f>
        <v>10126</v>
      </c>
      <c r="P12" s="9">
        <f>4232+5894</f>
        <v>10126</v>
      </c>
      <c r="Q12" s="9">
        <f t="shared" ref="Q12:V12" si="7">4443.6+5894</f>
        <v>10337.6</v>
      </c>
      <c r="R12" s="9">
        <f t="shared" si="7"/>
        <v>10337.6</v>
      </c>
      <c r="S12" s="9">
        <f t="shared" si="7"/>
        <v>10337.6</v>
      </c>
      <c r="T12" s="9">
        <f t="shared" si="7"/>
        <v>10337.6</v>
      </c>
      <c r="U12" s="9">
        <f t="shared" si="7"/>
        <v>10337.6</v>
      </c>
      <c r="V12" s="9">
        <f t="shared" si="7"/>
        <v>10337.6</v>
      </c>
      <c r="W12" s="8">
        <f t="shared" si="1"/>
        <v>105099.60000000002</v>
      </c>
      <c r="X12" s="9">
        <v>0</v>
      </c>
      <c r="Y12" s="9">
        <v>8464.42</v>
      </c>
      <c r="Z12" s="9">
        <v>0</v>
      </c>
      <c r="AA12" s="9">
        <v>10706.3</v>
      </c>
      <c r="AB12" s="9">
        <f>3785.4+2688.69+4232.21</f>
        <v>10706.3</v>
      </c>
      <c r="AC12" s="9">
        <f>2688.69+3785.4+2688.69+3785.4+4232.21</f>
        <v>17180.39</v>
      </c>
      <c r="AD12" s="9">
        <v>10706.3</v>
      </c>
      <c r="AE12" s="9">
        <v>10706.3</v>
      </c>
      <c r="AF12" s="9">
        <v>10706.3</v>
      </c>
      <c r="AG12" s="9">
        <v>10706.3</v>
      </c>
      <c r="AH12" s="9">
        <v>10706.3</v>
      </c>
      <c r="AI12" s="9">
        <v>10706.3</v>
      </c>
      <c r="AJ12" s="8">
        <f t="shared" si="2"/>
        <v>68470.010000000009</v>
      </c>
      <c r="AK12" s="8">
        <f t="shared" si="3"/>
        <v>111295.21000000002</v>
      </c>
      <c r="AL12" s="9">
        <v>11000</v>
      </c>
      <c r="AM12" s="9">
        <v>11000</v>
      </c>
      <c r="AN12" s="9">
        <v>11500</v>
      </c>
      <c r="AO12" s="9">
        <v>11500</v>
      </c>
      <c r="AP12" s="9">
        <v>11500</v>
      </c>
      <c r="AQ12" s="9">
        <v>11500</v>
      </c>
      <c r="AR12" s="9">
        <v>11500</v>
      </c>
      <c r="AS12" s="9">
        <v>11500</v>
      </c>
      <c r="AT12" s="9">
        <v>11500</v>
      </c>
      <c r="AU12" s="9">
        <v>11500</v>
      </c>
      <c r="AV12" s="9">
        <v>11500</v>
      </c>
      <c r="AW12" s="9">
        <v>11500</v>
      </c>
      <c r="AX12" s="8">
        <f t="shared" si="5"/>
        <v>137000</v>
      </c>
      <c r="AY12" s="7">
        <f t="shared" si="6"/>
        <v>31900.39999999998</v>
      </c>
      <c r="AZ12" s="7">
        <f t="shared" si="4"/>
        <v>25704.789999999979</v>
      </c>
      <c r="BA12" s="46" t="s">
        <v>582</v>
      </c>
      <c r="BB12" s="5" t="s">
        <v>575</v>
      </c>
    </row>
    <row r="13" spans="1:54">
      <c r="A13" s="11">
        <f t="shared" si="0"/>
        <v>6</v>
      </c>
      <c r="B13" s="6" t="s">
        <v>13</v>
      </c>
      <c r="C13" s="10" t="str">
        <f>IF($B13="","",IFERROR(INDEX(Apoio!$L$3:$L$81,MATCH($B13,Apoio!$K$3:$K$81,0)),""))</f>
        <v>COMERCIALIZADORA</v>
      </c>
      <c r="D13" s="6" t="s">
        <v>34</v>
      </c>
      <c r="E13" s="10" t="str">
        <f>IF($D13="","",IFERROR(INDEX(Apoio!$C$3:$C$81,MATCH($D13,Apoio!$B$3:$B$81,0)),""))</f>
        <v>TI</v>
      </c>
      <c r="F13" s="10" t="str">
        <f>IF($D13="","",IFERROR(INDEX(Apoio!$D$3:$D$81,MATCH($D13,Apoio!$B$3:$B$81,0)),""))</f>
        <v>Marcelo Bronzatti</v>
      </c>
      <c r="G13" s="10">
        <f>IF($H13="","",IFERROR(_xlfn.XLOOKUP(H13,'De x Para DRE'!C:C,'De x Para DRE'!B:B),""))</f>
        <v>5110100702</v>
      </c>
      <c r="H13" s="6" t="s">
        <v>460</v>
      </c>
      <c r="I13" s="10" t="str">
        <f>IF($G13="","",IFERROR(INDEX('De x Para DRE'!$E$3:$E$210,MATCH($G13,'De x Para DRE'!$B$3:$B$210,0)),""))</f>
        <v>3.1 G&amp;A</v>
      </c>
      <c r="J13" s="6" t="s">
        <v>583</v>
      </c>
      <c r="K13" s="9">
        <v>789</v>
      </c>
      <c r="L13" s="9">
        <v>789</v>
      </c>
      <c r="M13" s="9">
        <v>789</v>
      </c>
      <c r="N13" s="9">
        <v>789</v>
      </c>
      <c r="O13" s="9">
        <v>789</v>
      </c>
      <c r="P13" s="9">
        <v>789</v>
      </c>
      <c r="Q13" s="9">
        <v>828.45</v>
      </c>
      <c r="R13" s="9">
        <v>828.45</v>
      </c>
      <c r="S13" s="9">
        <v>828.45</v>
      </c>
      <c r="T13" s="9">
        <v>828.45</v>
      </c>
      <c r="U13" s="9">
        <v>828.45</v>
      </c>
      <c r="V13" s="9">
        <v>828.45</v>
      </c>
      <c r="W13" s="8">
        <f t="shared" si="1"/>
        <v>9704.7000000000007</v>
      </c>
      <c r="X13" s="9">
        <f>789+789</f>
        <v>1578</v>
      </c>
      <c r="Y13" s="9">
        <v>789</v>
      </c>
      <c r="Z13" s="9">
        <v>789</v>
      </c>
      <c r="AA13" s="9">
        <v>789</v>
      </c>
      <c r="AB13" s="9">
        <v>789</v>
      </c>
      <c r="AC13" s="9">
        <v>789</v>
      </c>
      <c r="AD13" s="9">
        <v>789</v>
      </c>
      <c r="AE13" s="9">
        <v>795.96</v>
      </c>
      <c r="AF13" s="9">
        <v>795.96</v>
      </c>
      <c r="AG13" s="9">
        <v>795.96</v>
      </c>
      <c r="AH13" s="9">
        <v>795.96</v>
      </c>
      <c r="AI13" s="9">
        <v>795.96</v>
      </c>
      <c r="AJ13" s="8">
        <f t="shared" si="2"/>
        <v>7107.96</v>
      </c>
      <c r="AK13" s="8">
        <f t="shared" si="3"/>
        <v>10291.799999999999</v>
      </c>
      <c r="AL13" s="9">
        <v>830</v>
      </c>
      <c r="AM13" s="9">
        <v>830</v>
      </c>
      <c r="AN13" s="9">
        <v>830</v>
      </c>
      <c r="AO13" s="9">
        <v>830</v>
      </c>
      <c r="AP13" s="9">
        <v>830</v>
      </c>
      <c r="AQ13" s="9">
        <v>830</v>
      </c>
      <c r="AR13" s="9">
        <v>830</v>
      </c>
      <c r="AS13" s="9">
        <v>860</v>
      </c>
      <c r="AT13" s="9">
        <v>860</v>
      </c>
      <c r="AU13" s="9">
        <v>860</v>
      </c>
      <c r="AV13" s="9">
        <v>860</v>
      </c>
      <c r="AW13" s="9">
        <v>860</v>
      </c>
      <c r="AX13" s="8">
        <f t="shared" si="5"/>
        <v>10110</v>
      </c>
      <c r="AY13" s="7">
        <f t="shared" si="6"/>
        <v>405.29999999999927</v>
      </c>
      <c r="AZ13" s="7">
        <f t="shared" si="4"/>
        <v>-181.79999999999927</v>
      </c>
      <c r="BA13" s="46"/>
      <c r="BB13" s="5" t="s">
        <v>575</v>
      </c>
    </row>
    <row r="14" spans="1:54" ht="87">
      <c r="A14" s="11">
        <f t="shared" si="0"/>
        <v>7</v>
      </c>
      <c r="B14" s="6" t="s">
        <v>13</v>
      </c>
      <c r="C14" s="10" t="str">
        <f>IF($B14="","",IFERROR(INDEX(Apoio!$L$3:$L$81,MATCH($B14,Apoio!$K$3:$K$81,0)),""))</f>
        <v>COMERCIALIZADORA</v>
      </c>
      <c r="D14" s="6" t="s">
        <v>34</v>
      </c>
      <c r="E14" s="10" t="str">
        <f>IF($D14="","",IFERROR(INDEX(Apoio!$C$3:$C$81,MATCH($D14,Apoio!$B$3:$B$81,0)),""))</f>
        <v>TI</v>
      </c>
      <c r="F14" s="10" t="str">
        <f>IF($D14="","",IFERROR(INDEX(Apoio!$D$3:$D$81,MATCH($D14,Apoio!$B$3:$B$81,0)),""))</f>
        <v>Marcelo Bronzatti</v>
      </c>
      <c r="G14" s="10">
        <f>IF($H14="","",IFERROR(_xlfn.XLOOKUP(H14,'De x Para DRE'!C:C,'De x Para DRE'!B:B),""))</f>
        <v>5110100702</v>
      </c>
      <c r="H14" s="6" t="s">
        <v>460</v>
      </c>
      <c r="I14" s="10" t="str">
        <f>IF($G14="","",IFERROR(INDEX('De x Para DRE'!$E$3:$E$210,MATCH($G14,'De x Para DRE'!$B$3:$B$210,0)),""))</f>
        <v>3.1 G&amp;A</v>
      </c>
      <c r="J14" s="6" t="s">
        <v>584</v>
      </c>
      <c r="K14" s="9">
        <v>36714</v>
      </c>
      <c r="L14" s="9">
        <v>36714</v>
      </c>
      <c r="M14" s="9">
        <v>36714</v>
      </c>
      <c r="N14" s="9">
        <v>36714</v>
      </c>
      <c r="O14" s="9">
        <v>36714</v>
      </c>
      <c r="P14" s="9">
        <v>36714</v>
      </c>
      <c r="Q14" s="9">
        <v>38549.700000000004</v>
      </c>
      <c r="R14" s="9">
        <v>38549.700000000004</v>
      </c>
      <c r="S14" s="9">
        <v>38549.700000000004</v>
      </c>
      <c r="T14" s="9">
        <v>38549.700000000004</v>
      </c>
      <c r="U14" s="9">
        <v>38549.700000000004</v>
      </c>
      <c r="V14" s="9">
        <v>38549.700000000004</v>
      </c>
      <c r="W14" s="8">
        <f t="shared" si="1"/>
        <v>451582.20000000007</v>
      </c>
      <c r="X14" s="9">
        <f>1500+10000+25213.83</f>
        <v>36713.83</v>
      </c>
      <c r="Y14" s="9">
        <f>3000+10000+25213.83-1500</f>
        <v>36713.83</v>
      </c>
      <c r="Z14" s="9">
        <f>1500+10000+25213.83</f>
        <v>36713.83</v>
      </c>
      <c r="AA14" s="9">
        <f>1891.02+10000+25213.83+2130.34</f>
        <v>39235.19</v>
      </c>
      <c r="AB14" s="9">
        <f>10000+25213.83+1800+2130.34</f>
        <v>39144.17</v>
      </c>
      <c r="AC14" s="9">
        <f>10000+15877.79+2130.34</f>
        <v>28008.13</v>
      </c>
      <c r="AD14" s="9">
        <f>15877.79+10000+2130.34</f>
        <v>28008.13</v>
      </c>
      <c r="AE14" s="9">
        <f>15877.79+10000+2130.34</f>
        <v>28008.13</v>
      </c>
      <c r="AF14" s="9">
        <v>28008.13</v>
      </c>
      <c r="AG14" s="9">
        <v>28008.13</v>
      </c>
      <c r="AH14" s="9">
        <v>28008.13</v>
      </c>
      <c r="AI14" s="9">
        <v>28008.13</v>
      </c>
      <c r="AJ14" s="8">
        <f t="shared" si="2"/>
        <v>272545.24</v>
      </c>
      <c r="AK14" s="8">
        <f t="shared" si="3"/>
        <v>384577.76</v>
      </c>
      <c r="AL14" s="9">
        <v>36800</v>
      </c>
      <c r="AM14" s="9">
        <v>36800</v>
      </c>
      <c r="AN14" s="9">
        <v>36800</v>
      </c>
      <c r="AO14" s="9">
        <v>38400</v>
      </c>
      <c r="AP14" s="9">
        <v>38400</v>
      </c>
      <c r="AQ14" s="9">
        <v>38400</v>
      </c>
      <c r="AR14" s="9">
        <v>38400</v>
      </c>
      <c r="AS14" s="9">
        <v>38400</v>
      </c>
      <c r="AT14" s="9">
        <v>38400</v>
      </c>
      <c r="AU14" s="9">
        <v>38400</v>
      </c>
      <c r="AV14" s="9">
        <v>38400</v>
      </c>
      <c r="AW14" s="9">
        <v>38400</v>
      </c>
      <c r="AX14" s="8">
        <f t="shared" si="5"/>
        <v>456000</v>
      </c>
      <c r="AY14" s="7">
        <f t="shared" si="6"/>
        <v>4417.7999999999302</v>
      </c>
      <c r="AZ14" s="7">
        <f t="shared" si="4"/>
        <v>71422.239999999991</v>
      </c>
      <c r="BA14" s="46" t="s">
        <v>585</v>
      </c>
      <c r="BB14" s="5" t="s">
        <v>575</v>
      </c>
    </row>
    <row r="15" spans="1:54">
      <c r="A15" s="11">
        <f t="shared" si="0"/>
        <v>8</v>
      </c>
      <c r="B15" s="6" t="s">
        <v>13</v>
      </c>
      <c r="C15" s="10" t="str">
        <f>IF($B15="","",IFERROR(INDEX(Apoio!$L$3:$L$81,MATCH($B15,Apoio!$K$3:$K$81,0)),""))</f>
        <v>COMERCIALIZADORA</v>
      </c>
      <c r="D15" s="6" t="s">
        <v>34</v>
      </c>
      <c r="E15" s="10" t="str">
        <f>IF($D15="","",IFERROR(INDEX(Apoio!$C$3:$C$81,MATCH($D15,Apoio!$B$3:$B$81,0)),""))</f>
        <v>TI</v>
      </c>
      <c r="F15" s="10" t="str">
        <f>IF($D15="","",IFERROR(INDEX(Apoio!$D$3:$D$81,MATCH($D15,Apoio!$B$3:$B$81,0)),""))</f>
        <v>Marcelo Bronzatti</v>
      </c>
      <c r="G15" s="10">
        <f>IF($H15="","",IFERROR(_xlfn.XLOOKUP(H15,'De x Para DRE'!C:C,'De x Para DRE'!B:B),""))</f>
        <v>5110100702</v>
      </c>
      <c r="H15" s="6" t="s">
        <v>460</v>
      </c>
      <c r="I15" s="10" t="str">
        <f>IF($G15="","",IFERROR(INDEX('De x Para DRE'!$E$3:$E$210,MATCH($G15,'De x Para DRE'!$B$3:$B$210,0)),""))</f>
        <v>3.1 G&amp;A</v>
      </c>
      <c r="J15" s="6" t="s">
        <v>586</v>
      </c>
      <c r="K15" s="9">
        <v>1705</v>
      </c>
      <c r="L15" s="9">
        <v>1705</v>
      </c>
      <c r="M15" s="9">
        <v>1705</v>
      </c>
      <c r="N15" s="9">
        <v>1705</v>
      </c>
      <c r="O15" s="9">
        <v>1705</v>
      </c>
      <c r="P15" s="9">
        <v>1705</v>
      </c>
      <c r="Q15" s="9">
        <v>1449.25</v>
      </c>
      <c r="R15" s="9">
        <v>1449.25</v>
      </c>
      <c r="S15" s="9">
        <v>1449.25</v>
      </c>
      <c r="T15" s="9">
        <v>1449.25</v>
      </c>
      <c r="U15" s="9">
        <v>1449.25</v>
      </c>
      <c r="V15" s="9">
        <v>1449.25</v>
      </c>
      <c r="W15" s="8">
        <f t="shared" si="1"/>
        <v>18925.5</v>
      </c>
      <c r="X15" s="9">
        <v>1272</v>
      </c>
      <c r="Y15" s="9">
        <f>1188+264</f>
        <v>1452</v>
      </c>
      <c r="Z15" s="9">
        <f>1068</f>
        <v>1068</v>
      </c>
      <c r="AA15" s="9">
        <f>1056+288+72+72</f>
        <v>1488</v>
      </c>
      <c r="AB15" s="9">
        <f>1188+60</f>
        <v>1248</v>
      </c>
      <c r="AC15" s="9">
        <f>1068+60</f>
        <v>1128</v>
      </c>
      <c r="AD15" s="9">
        <v>1092</v>
      </c>
      <c r="AE15" s="9">
        <v>1116</v>
      </c>
      <c r="AF15" s="9">
        <f t="shared" ref="AF15:AI16" si="8">AE15</f>
        <v>1116</v>
      </c>
      <c r="AG15" s="9">
        <f t="shared" si="8"/>
        <v>1116</v>
      </c>
      <c r="AH15" s="9">
        <f t="shared" si="8"/>
        <v>1116</v>
      </c>
      <c r="AI15" s="9">
        <f t="shared" si="8"/>
        <v>1116</v>
      </c>
      <c r="AJ15" s="8">
        <f t="shared" si="2"/>
        <v>9864</v>
      </c>
      <c r="AK15" s="8">
        <f t="shared" si="3"/>
        <v>14328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8">
        <f t="shared" si="5"/>
        <v>0</v>
      </c>
      <c r="AY15" s="7">
        <f t="shared" si="6"/>
        <v>-18925.5</v>
      </c>
      <c r="AZ15" s="7">
        <f t="shared" si="4"/>
        <v>-14328</v>
      </c>
      <c r="BA15" s="46"/>
      <c r="BB15" s="5" t="s">
        <v>575</v>
      </c>
    </row>
    <row r="16" spans="1:54" ht="72.75">
      <c r="A16" s="11">
        <f t="shared" si="0"/>
        <v>9</v>
      </c>
      <c r="B16" s="6" t="s">
        <v>13</v>
      </c>
      <c r="C16" s="10" t="str">
        <f>IF($B16="","",IFERROR(INDEX(Apoio!$L$3:$L$81,MATCH($B16,Apoio!$K$3:$K$81,0)),""))</f>
        <v>COMERCIALIZADORA</v>
      </c>
      <c r="D16" s="6" t="s">
        <v>34</v>
      </c>
      <c r="E16" s="10" t="str">
        <f>IF($D16="","",IFERROR(INDEX(Apoio!$C$3:$C$81,MATCH($D16,Apoio!$B$3:$B$81,0)),""))</f>
        <v>TI</v>
      </c>
      <c r="F16" s="10" t="str">
        <f>IF($D16="","",IFERROR(INDEX(Apoio!$D$3:$D$81,MATCH($D16,Apoio!$B$3:$B$81,0)),""))</f>
        <v>Marcelo Bronzatti</v>
      </c>
      <c r="G16" s="10">
        <f>IF($H16="","",IFERROR(_xlfn.XLOOKUP(H16,'De x Para DRE'!C:C,'De x Para DRE'!B:B),""))</f>
        <v>5110100702</v>
      </c>
      <c r="H16" s="6" t="s">
        <v>460</v>
      </c>
      <c r="I16" s="10" t="str">
        <f>IF($G16="","",IFERROR(INDEX('De x Para DRE'!$E$3:$E$210,MATCH($G16,'De x Para DRE'!$B$3:$B$210,0)),""))</f>
        <v>3.1 G&amp;A</v>
      </c>
      <c r="J16" s="6" t="s">
        <v>587</v>
      </c>
      <c r="K16" s="9">
        <v>1700</v>
      </c>
      <c r="L16" s="9">
        <v>1700</v>
      </c>
      <c r="M16" s="9">
        <v>1700</v>
      </c>
      <c r="N16" s="9">
        <v>2000</v>
      </c>
      <c r="O16" s="9">
        <v>2000</v>
      </c>
      <c r="P16" s="9">
        <v>2000</v>
      </c>
      <c r="Q16" s="9">
        <v>2000</v>
      </c>
      <c r="R16" s="9">
        <v>2500</v>
      </c>
      <c r="S16" s="9">
        <v>2500</v>
      </c>
      <c r="T16" s="9">
        <v>2500</v>
      </c>
      <c r="U16" s="9">
        <v>2500</v>
      </c>
      <c r="V16" s="9">
        <v>2500</v>
      </c>
      <c r="W16" s="8">
        <f t="shared" si="1"/>
        <v>25600</v>
      </c>
      <c r="X16" s="9">
        <v>3320.71</v>
      </c>
      <c r="Y16" s="9">
        <v>1541.21</v>
      </c>
      <c r="Z16" s="9">
        <v>1840.61</v>
      </c>
      <c r="AA16" s="9">
        <v>1497.47</v>
      </c>
      <c r="AB16" s="9">
        <v>2333.88</v>
      </c>
      <c r="AC16" s="9">
        <v>3053.31</v>
      </c>
      <c r="AD16" s="9">
        <f>3678.65</f>
        <v>3678.65</v>
      </c>
      <c r="AE16" s="9">
        <f>3267.99</f>
        <v>3267.99</v>
      </c>
      <c r="AF16" s="9">
        <f t="shared" si="8"/>
        <v>3267.99</v>
      </c>
      <c r="AG16" s="9">
        <f t="shared" si="8"/>
        <v>3267.99</v>
      </c>
      <c r="AH16" s="9">
        <f t="shared" si="8"/>
        <v>3267.99</v>
      </c>
      <c r="AI16" s="9">
        <f t="shared" si="8"/>
        <v>3267.99</v>
      </c>
      <c r="AJ16" s="8">
        <f t="shared" si="2"/>
        <v>20533.830000000002</v>
      </c>
      <c r="AK16" s="8">
        <f t="shared" si="3"/>
        <v>33605.789999999994</v>
      </c>
      <c r="AL16" s="9">
        <v>5000</v>
      </c>
      <c r="AM16" s="9">
        <v>5000</v>
      </c>
      <c r="AN16" s="9">
        <v>5000</v>
      </c>
      <c r="AO16" s="9">
        <v>5000</v>
      </c>
      <c r="AP16" s="9">
        <v>6500</v>
      </c>
      <c r="AQ16" s="9">
        <v>6500</v>
      </c>
      <c r="AR16" s="9">
        <v>6500</v>
      </c>
      <c r="AS16" s="9">
        <v>6500</v>
      </c>
      <c r="AT16" s="9">
        <v>6500</v>
      </c>
      <c r="AU16" s="9">
        <v>6500</v>
      </c>
      <c r="AV16" s="9">
        <v>6500</v>
      </c>
      <c r="AW16" s="9">
        <v>6500</v>
      </c>
      <c r="AX16" s="8">
        <f t="shared" si="5"/>
        <v>72000</v>
      </c>
      <c r="AY16" s="7">
        <f t="shared" si="6"/>
        <v>46400</v>
      </c>
      <c r="AZ16" s="7">
        <f t="shared" si="4"/>
        <v>38394.210000000006</v>
      </c>
      <c r="BA16" s="46" t="s">
        <v>588</v>
      </c>
      <c r="BB16" s="5" t="s">
        <v>575</v>
      </c>
    </row>
    <row r="17" spans="1:54" ht="29.25">
      <c r="A17" s="11">
        <f t="shared" si="0"/>
        <v>10</v>
      </c>
      <c r="B17" s="6" t="s">
        <v>13</v>
      </c>
      <c r="C17" s="10" t="str">
        <f>IF($B17="","",IFERROR(INDEX(Apoio!$L$3:$L$81,MATCH($B17,Apoio!$K$3:$K$81,0)),""))</f>
        <v>COMERCIALIZADORA</v>
      </c>
      <c r="D17" s="6" t="s">
        <v>34</v>
      </c>
      <c r="E17" s="10" t="str">
        <f>IF($D17="","",IFERROR(INDEX(Apoio!$C$3:$C$81,MATCH($D17,Apoio!$B$3:$B$81,0)),""))</f>
        <v>TI</v>
      </c>
      <c r="F17" s="10" t="str">
        <f>IF($D17="","",IFERROR(INDEX(Apoio!$D$3:$D$81,MATCH($D17,Apoio!$B$3:$B$81,0)),""))</f>
        <v>Marcelo Bronzatti</v>
      </c>
      <c r="G17" s="10">
        <f>IF($H17="","",IFERROR(_xlfn.XLOOKUP(H17,'De x Para DRE'!C:C,'De x Para DRE'!B:B),""))</f>
        <v>5110100702</v>
      </c>
      <c r="H17" s="6" t="s">
        <v>460</v>
      </c>
      <c r="I17" s="10" t="str">
        <f>IF($G17="","",IFERROR(INDEX('De x Para DRE'!$E$3:$E$210,MATCH($G17,'De x Para DRE'!$B$3:$B$210,0)),""))</f>
        <v>3.1 G&amp;A</v>
      </c>
      <c r="J17" s="6" t="s">
        <v>589</v>
      </c>
      <c r="K17" s="9">
        <v>1380</v>
      </c>
      <c r="L17" s="9">
        <v>1380</v>
      </c>
      <c r="M17" s="9">
        <v>1380</v>
      </c>
      <c r="N17" s="9">
        <v>1380</v>
      </c>
      <c r="O17" s="9">
        <v>1380</v>
      </c>
      <c r="P17" s="9">
        <v>1380</v>
      </c>
      <c r="Q17" s="9">
        <v>1449</v>
      </c>
      <c r="R17" s="9">
        <v>1449</v>
      </c>
      <c r="S17" s="9">
        <v>1449</v>
      </c>
      <c r="T17" s="9">
        <v>1449</v>
      </c>
      <c r="U17" s="9">
        <v>1449</v>
      </c>
      <c r="V17" s="9">
        <v>1449</v>
      </c>
      <c r="W17" s="8">
        <f t="shared" si="1"/>
        <v>16974</v>
      </c>
      <c r="X17" s="9">
        <v>1380</v>
      </c>
      <c r="Y17" s="9">
        <v>1380</v>
      </c>
      <c r="Z17" s="9">
        <v>1380</v>
      </c>
      <c r="AA17" s="9">
        <v>1380</v>
      </c>
      <c r="AB17" s="9">
        <v>1380</v>
      </c>
      <c r="AC17" s="9">
        <v>1560</v>
      </c>
      <c r="AD17" s="9">
        <v>1560</v>
      </c>
      <c r="AE17" s="9">
        <v>1560</v>
      </c>
      <c r="AF17" s="9">
        <v>1560</v>
      </c>
      <c r="AG17" s="9">
        <v>1560</v>
      </c>
      <c r="AH17" s="9">
        <v>1560</v>
      </c>
      <c r="AI17" s="9">
        <v>1560</v>
      </c>
      <c r="AJ17" s="8">
        <f t="shared" si="2"/>
        <v>11580</v>
      </c>
      <c r="AK17" s="8">
        <f t="shared" si="3"/>
        <v>17820</v>
      </c>
      <c r="AL17" s="9">
        <v>1300</v>
      </c>
      <c r="AM17" s="9">
        <v>1300</v>
      </c>
      <c r="AN17" s="9">
        <v>1300</v>
      </c>
      <c r="AO17" s="9">
        <v>1300</v>
      </c>
      <c r="AP17" s="9">
        <v>1300</v>
      </c>
      <c r="AQ17" s="9">
        <v>1300</v>
      </c>
      <c r="AR17" s="9">
        <v>1300</v>
      </c>
      <c r="AS17" s="9">
        <v>1300</v>
      </c>
      <c r="AT17" s="9">
        <v>1300</v>
      </c>
      <c r="AU17" s="9">
        <v>1300</v>
      </c>
      <c r="AV17" s="9">
        <v>1300</v>
      </c>
      <c r="AW17" s="9">
        <v>1300</v>
      </c>
      <c r="AX17" s="8">
        <f t="shared" si="5"/>
        <v>15600</v>
      </c>
      <c r="AY17" s="7">
        <f t="shared" si="6"/>
        <v>-1374</v>
      </c>
      <c r="AZ17" s="7">
        <f t="shared" si="4"/>
        <v>-2220</v>
      </c>
      <c r="BA17" s="46" t="s">
        <v>590</v>
      </c>
      <c r="BB17" s="5" t="s">
        <v>575</v>
      </c>
    </row>
    <row r="18" spans="1:54">
      <c r="A18" s="11">
        <f t="shared" si="0"/>
        <v>11</v>
      </c>
      <c r="B18" s="6" t="s">
        <v>13</v>
      </c>
      <c r="C18" s="10" t="str">
        <f>IF($B18="","",IFERROR(INDEX(Apoio!$L$3:$L$81,MATCH($B18,Apoio!$K$3:$K$81,0)),""))</f>
        <v>COMERCIALIZADORA</v>
      </c>
      <c r="D18" s="6" t="s">
        <v>34</v>
      </c>
      <c r="E18" s="10" t="str">
        <f>IF($D18="","",IFERROR(INDEX(Apoio!$C$3:$C$81,MATCH($D18,Apoio!$B$3:$B$81,0)),""))</f>
        <v>TI</v>
      </c>
      <c r="F18" s="10" t="str">
        <f>IF($D18="","",IFERROR(INDEX(Apoio!$D$3:$D$81,MATCH($D18,Apoio!$B$3:$B$81,0)),""))</f>
        <v>Marcelo Bronzatti</v>
      </c>
      <c r="G18" s="10">
        <f>IF($H18="","",IFERROR(_xlfn.XLOOKUP(H18,'De x Para DRE'!C:C,'De x Para DRE'!B:B),""))</f>
        <v>5110100702</v>
      </c>
      <c r="H18" s="6" t="s">
        <v>460</v>
      </c>
      <c r="I18" s="10" t="str">
        <f>IF($G18="","",IFERROR(INDEX('De x Para DRE'!$E$3:$E$210,MATCH($G18,'De x Para DRE'!$B$3:$B$210,0)),""))</f>
        <v>3.1 G&amp;A</v>
      </c>
      <c r="J18" s="6" t="s">
        <v>591</v>
      </c>
      <c r="K18" s="9">
        <v>495.31</v>
      </c>
      <c r="L18" s="9">
        <v>495.31</v>
      </c>
      <c r="M18" s="9">
        <v>495.31</v>
      </c>
      <c r="N18" s="9">
        <v>495.31</v>
      </c>
      <c r="O18" s="9">
        <v>495.31</v>
      </c>
      <c r="P18" s="9">
        <v>495.31</v>
      </c>
      <c r="Q18" s="9">
        <v>520.07550000000003</v>
      </c>
      <c r="R18" s="9">
        <v>520.07550000000003</v>
      </c>
      <c r="S18" s="9">
        <v>520.07550000000003</v>
      </c>
      <c r="T18" s="9">
        <v>520.07550000000003</v>
      </c>
      <c r="U18" s="9">
        <v>520.07550000000003</v>
      </c>
      <c r="V18" s="9">
        <v>520.07550000000003</v>
      </c>
      <c r="W18" s="8">
        <f t="shared" si="1"/>
        <v>6092.3130000000001</v>
      </c>
      <c r="X18" s="9">
        <v>495.31</v>
      </c>
      <c r="Y18" s="9">
        <v>495.31</v>
      </c>
      <c r="Z18" s="9">
        <f>495.31</f>
        <v>495.31</v>
      </c>
      <c r="AA18" s="9">
        <v>495.31</v>
      </c>
      <c r="AB18" s="9">
        <v>495.31</v>
      </c>
      <c r="AC18" s="9">
        <v>495.31</v>
      </c>
      <c r="AD18" s="9">
        <v>495.31</v>
      </c>
      <c r="AE18" s="9">
        <v>495.31</v>
      </c>
      <c r="AF18" s="9">
        <v>495.31</v>
      </c>
      <c r="AG18" s="9">
        <v>495.31</v>
      </c>
      <c r="AH18" s="9">
        <v>495.31</v>
      </c>
      <c r="AI18" s="9">
        <v>495.31</v>
      </c>
      <c r="AJ18" s="8">
        <f t="shared" si="2"/>
        <v>3962.48</v>
      </c>
      <c r="AK18" s="8">
        <f t="shared" si="3"/>
        <v>5943.7200000000012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8">
        <f t="shared" si="5"/>
        <v>0</v>
      </c>
      <c r="AY18" s="7">
        <f t="shared" si="6"/>
        <v>-6092.3130000000001</v>
      </c>
      <c r="AZ18" s="7">
        <f t="shared" si="4"/>
        <v>-5943.7200000000012</v>
      </c>
      <c r="BA18" s="46" t="s">
        <v>592</v>
      </c>
      <c r="BB18" s="5" t="s">
        <v>575</v>
      </c>
    </row>
    <row r="19" spans="1:54">
      <c r="A19" s="11">
        <f t="shared" si="0"/>
        <v>12</v>
      </c>
      <c r="B19" s="6" t="s">
        <v>13</v>
      </c>
      <c r="C19" s="10" t="str">
        <f>IF($B19="","",IFERROR(INDEX(Apoio!$L$3:$L$81,MATCH($B19,Apoio!$K$3:$K$81,0)),""))</f>
        <v>COMERCIALIZADORA</v>
      </c>
      <c r="D19" s="6" t="s">
        <v>34</v>
      </c>
      <c r="E19" s="10" t="str">
        <f>IF($D19="","",IFERROR(INDEX(Apoio!$C$3:$C$81,MATCH($D19,Apoio!$B$3:$B$81,0)),""))</f>
        <v>TI</v>
      </c>
      <c r="F19" s="10" t="str">
        <f>IF($D19="","",IFERROR(INDEX(Apoio!$D$3:$D$81,MATCH($D19,Apoio!$B$3:$B$81,0)),""))</f>
        <v>Marcelo Bronzatti</v>
      </c>
      <c r="G19" s="10">
        <f>IF($H19="","",IFERROR(_xlfn.XLOOKUP(H19,'De x Para DRE'!C:C,'De x Para DRE'!B:B),""))</f>
        <v>5110100702</v>
      </c>
      <c r="H19" s="6" t="s">
        <v>460</v>
      </c>
      <c r="I19" s="10" t="str">
        <f>IF($G19="","",IFERROR(INDEX('De x Para DRE'!$E$3:$E$210,MATCH($G19,'De x Para DRE'!$B$3:$B$210,0)),""))</f>
        <v>3.1 G&amp;A</v>
      </c>
      <c r="J19" s="6" t="s">
        <v>593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8">
        <f t="shared" si="1"/>
        <v>0</v>
      </c>
      <c r="X19" s="9"/>
      <c r="Y19" s="9"/>
      <c r="Z19" s="9"/>
      <c r="AA19" s="9"/>
      <c r="AB19" s="9">
        <v>3800</v>
      </c>
      <c r="AC19" s="9">
        <f>2500+1300</f>
        <v>3800</v>
      </c>
      <c r="AD19" s="9">
        <v>3800</v>
      </c>
      <c r="AE19" s="9">
        <v>3800</v>
      </c>
      <c r="AF19" s="9">
        <v>3800</v>
      </c>
      <c r="AG19" s="9">
        <v>3800</v>
      </c>
      <c r="AH19" s="9">
        <v>3800</v>
      </c>
      <c r="AI19" s="9">
        <v>3800</v>
      </c>
      <c r="AJ19" s="8">
        <f t="shared" si="2"/>
        <v>15200</v>
      </c>
      <c r="AK19" s="8">
        <f t="shared" si="3"/>
        <v>30400</v>
      </c>
      <c r="AL19" s="9">
        <v>1300</v>
      </c>
      <c r="AM19" s="9">
        <v>1300</v>
      </c>
      <c r="AN19" s="9">
        <v>1300</v>
      </c>
      <c r="AO19" s="9">
        <v>1300</v>
      </c>
      <c r="AP19" s="9">
        <v>1500</v>
      </c>
      <c r="AQ19" s="9">
        <v>1500</v>
      </c>
      <c r="AR19" s="9">
        <v>1500</v>
      </c>
      <c r="AS19" s="9">
        <v>1500</v>
      </c>
      <c r="AT19" s="9">
        <v>1500</v>
      </c>
      <c r="AU19" s="9">
        <v>1500</v>
      </c>
      <c r="AV19" s="9">
        <v>1500</v>
      </c>
      <c r="AW19" s="9">
        <v>1500</v>
      </c>
      <c r="AX19" s="8">
        <f t="shared" si="5"/>
        <v>17200</v>
      </c>
      <c r="AY19" s="7">
        <f t="shared" si="6"/>
        <v>17200</v>
      </c>
      <c r="AZ19" s="7">
        <f t="shared" si="4"/>
        <v>-13200</v>
      </c>
      <c r="BA19" s="46" t="s">
        <v>577</v>
      </c>
      <c r="BB19" s="5" t="s">
        <v>575</v>
      </c>
    </row>
    <row r="20" spans="1:54">
      <c r="A20" s="11">
        <f t="shared" si="0"/>
        <v>13</v>
      </c>
      <c r="B20" s="6" t="s">
        <v>13</v>
      </c>
      <c r="C20" s="10" t="str">
        <f>IF($B20="","",IFERROR(INDEX(Apoio!$L$3:$L$81,MATCH($B20,Apoio!$K$3:$K$81,0)),""))</f>
        <v>COMERCIALIZADORA</v>
      </c>
      <c r="D20" s="6" t="s">
        <v>34</v>
      </c>
      <c r="E20" s="10" t="str">
        <f>IF($D20="","",IFERROR(INDEX(Apoio!$C$3:$C$81,MATCH($D20,Apoio!$B$3:$B$81,0)),""))</f>
        <v>TI</v>
      </c>
      <c r="F20" s="10" t="str">
        <f>IF($D20="","",IFERROR(INDEX(Apoio!$D$3:$D$81,MATCH($D20,Apoio!$B$3:$B$81,0)),""))</f>
        <v>Marcelo Bronzatti</v>
      </c>
      <c r="G20" s="10">
        <f>IF($H20="","",IFERROR(_xlfn.XLOOKUP(H20,'De x Para DRE'!C:C,'De x Para DRE'!B:B),""))</f>
        <v>5110100702</v>
      </c>
      <c r="H20" s="6" t="s">
        <v>460</v>
      </c>
      <c r="I20" s="10" t="str">
        <f>IF($G20="","",IFERROR(INDEX('De x Para DRE'!$E$3:$E$210,MATCH($G20,'De x Para DRE'!$B$3:$B$210,0)),""))</f>
        <v>3.1 G&amp;A</v>
      </c>
      <c r="J20" s="47" t="s">
        <v>594</v>
      </c>
      <c r="K20" s="9">
        <v>21967.74</v>
      </c>
      <c r="L20" s="9">
        <v>21967.74</v>
      </c>
      <c r="M20" s="9">
        <v>21967.74</v>
      </c>
      <c r="N20" s="9">
        <v>21967.74</v>
      </c>
      <c r="O20" s="9">
        <v>21967.74</v>
      </c>
      <c r="P20" s="9">
        <v>19967.740000000002</v>
      </c>
      <c r="Q20" s="9">
        <v>19967.740000000002</v>
      </c>
      <c r="R20" s="9">
        <v>19967.740000000002</v>
      </c>
      <c r="S20" s="9">
        <v>19967.740000000002</v>
      </c>
      <c r="T20" s="9">
        <v>17600</v>
      </c>
      <c r="U20" s="9">
        <v>17600</v>
      </c>
      <c r="V20" s="9">
        <v>17600</v>
      </c>
      <c r="W20" s="8">
        <f t="shared" si="1"/>
        <v>242509.66</v>
      </c>
      <c r="X20" s="9">
        <v>21967.74</v>
      </c>
      <c r="Y20" s="9">
        <v>21967.74</v>
      </c>
      <c r="Z20" s="9">
        <v>21967.74</v>
      </c>
      <c r="AA20" s="9">
        <v>21967.74</v>
      </c>
      <c r="AB20" s="9">
        <v>21967.74</v>
      </c>
      <c r="AC20" s="9">
        <v>21967.74</v>
      </c>
      <c r="AD20" s="9">
        <v>21967.74</v>
      </c>
      <c r="AE20" s="9">
        <v>22020.29</v>
      </c>
      <c r="AF20" s="9">
        <v>22020.29</v>
      </c>
      <c r="AG20" s="9">
        <v>22020.29</v>
      </c>
      <c r="AH20" s="9">
        <v>22020.29</v>
      </c>
      <c r="AI20" s="9">
        <v>22020.29</v>
      </c>
      <c r="AJ20" s="8">
        <f t="shared" si="2"/>
        <v>175794.47</v>
      </c>
      <c r="AK20" s="8">
        <f t="shared" si="3"/>
        <v>263875.63</v>
      </c>
      <c r="AL20" s="9">
        <v>16000</v>
      </c>
      <c r="AM20" s="9">
        <v>16000</v>
      </c>
      <c r="AN20" s="9">
        <v>16000</v>
      </c>
      <c r="AO20" s="9">
        <v>16000</v>
      </c>
      <c r="AP20" s="9">
        <v>16000</v>
      </c>
      <c r="AQ20" s="9">
        <v>16000</v>
      </c>
      <c r="AR20" s="9">
        <v>16000</v>
      </c>
      <c r="AS20" s="9">
        <v>16000</v>
      </c>
      <c r="AT20" s="9">
        <v>16000</v>
      </c>
      <c r="AU20" s="9">
        <v>18000</v>
      </c>
      <c r="AV20" s="9">
        <v>18000</v>
      </c>
      <c r="AW20" s="9">
        <v>18000</v>
      </c>
      <c r="AX20" s="8">
        <f t="shared" si="5"/>
        <v>198000</v>
      </c>
      <c r="AY20" s="7">
        <f t="shared" si="6"/>
        <v>-44509.66</v>
      </c>
      <c r="AZ20" s="7">
        <f t="shared" si="4"/>
        <v>-65875.63</v>
      </c>
      <c r="BA20" s="46" t="s">
        <v>595</v>
      </c>
      <c r="BB20" s="5" t="s">
        <v>575</v>
      </c>
    </row>
    <row r="21" spans="1:54">
      <c r="A21" s="11">
        <f t="shared" si="0"/>
        <v>14</v>
      </c>
      <c r="B21" s="6" t="s">
        <v>13</v>
      </c>
      <c r="C21" s="10" t="str">
        <f>IF($B21="","",IFERROR(INDEX(Apoio!$L$3:$L$81,MATCH($B21,Apoio!$K$3:$K$81,0)),""))</f>
        <v>COMERCIALIZADORA</v>
      </c>
      <c r="D21" s="6" t="s">
        <v>34</v>
      </c>
      <c r="E21" s="10" t="str">
        <f>IF($D21="","",IFERROR(INDEX(Apoio!$C$3:$C$81,MATCH($D21,Apoio!$B$3:$B$81,0)),""))</f>
        <v>TI</v>
      </c>
      <c r="F21" s="10" t="str">
        <f>IF($D21="","",IFERROR(INDEX(Apoio!$D$3:$D$81,MATCH($D21,Apoio!$B$3:$B$81,0)),""))</f>
        <v>Marcelo Bronzatti</v>
      </c>
      <c r="G21" s="10">
        <f>IF($H21="","",IFERROR(_xlfn.XLOOKUP(H21,'De x Para DRE'!C:C,'De x Para DRE'!B:B),""))</f>
        <v>5110100702</v>
      </c>
      <c r="H21" s="6" t="s">
        <v>460</v>
      </c>
      <c r="I21" s="10" t="str">
        <f>IF($G21="","",IFERROR(INDEX('De x Para DRE'!$E$3:$E$210,MATCH($G21,'De x Para DRE'!$B$3:$B$210,0)),""))</f>
        <v>3.1 G&amp;A</v>
      </c>
      <c r="J21" s="6" t="s">
        <v>596</v>
      </c>
      <c r="K21" s="9">
        <v>605</v>
      </c>
      <c r="L21" s="9">
        <v>605</v>
      </c>
      <c r="M21" s="9">
        <v>605</v>
      </c>
      <c r="N21" s="9">
        <v>605</v>
      </c>
      <c r="O21" s="9">
        <v>605</v>
      </c>
      <c r="P21" s="9">
        <v>605</v>
      </c>
      <c r="Q21" s="9">
        <v>605</v>
      </c>
      <c r="R21" s="9">
        <v>605</v>
      </c>
      <c r="S21" s="9">
        <v>605</v>
      </c>
      <c r="T21" s="9">
        <v>605</v>
      </c>
      <c r="U21" s="9">
        <v>605</v>
      </c>
      <c r="V21" s="9">
        <v>605</v>
      </c>
      <c r="W21" s="8">
        <f t="shared" si="1"/>
        <v>7260</v>
      </c>
      <c r="X21" s="9"/>
      <c r="Y21" s="9">
        <v>605.33000000000004</v>
      </c>
      <c r="Z21" s="9">
        <v>605.33000000000004</v>
      </c>
      <c r="AA21" s="9">
        <v>432.59</v>
      </c>
      <c r="AB21" s="9">
        <v>432.59</v>
      </c>
      <c r="AC21" s="9">
        <v>432.59</v>
      </c>
      <c r="AD21" s="9">
        <v>432.59</v>
      </c>
      <c r="AE21" s="9">
        <v>432.59</v>
      </c>
      <c r="AF21" s="9">
        <v>432.59</v>
      </c>
      <c r="AG21" s="9">
        <v>432.59</v>
      </c>
      <c r="AH21" s="9">
        <v>432.59</v>
      </c>
      <c r="AI21" s="9">
        <v>432.59</v>
      </c>
      <c r="AJ21" s="8">
        <f t="shared" si="2"/>
        <v>3373.6100000000006</v>
      </c>
      <c r="AK21" s="8">
        <f t="shared" si="3"/>
        <v>5103.9700000000012</v>
      </c>
      <c r="AL21" s="9">
        <v>500</v>
      </c>
      <c r="AM21" s="9">
        <v>500</v>
      </c>
      <c r="AN21" s="9">
        <v>500</v>
      </c>
      <c r="AO21" s="9">
        <v>500</v>
      </c>
      <c r="AP21" s="9">
        <v>500</v>
      </c>
      <c r="AQ21" s="9">
        <v>500</v>
      </c>
      <c r="AR21" s="9">
        <v>500</v>
      </c>
      <c r="AS21" s="9">
        <v>500</v>
      </c>
      <c r="AT21" s="9">
        <v>500</v>
      </c>
      <c r="AU21" s="9">
        <v>500</v>
      </c>
      <c r="AV21" s="9">
        <v>500</v>
      </c>
      <c r="AW21" s="9">
        <v>500</v>
      </c>
      <c r="AX21" s="8">
        <f t="shared" si="5"/>
        <v>6000</v>
      </c>
      <c r="AY21" s="7">
        <f t="shared" si="6"/>
        <v>-1260</v>
      </c>
      <c r="AZ21" s="7">
        <f t="shared" si="4"/>
        <v>896.02999999999884</v>
      </c>
      <c r="BA21" s="46"/>
      <c r="BB21" s="5" t="s">
        <v>575</v>
      </c>
    </row>
    <row r="22" spans="1:54">
      <c r="A22" s="11">
        <f t="shared" si="0"/>
        <v>15</v>
      </c>
      <c r="B22" s="6" t="s">
        <v>13</v>
      </c>
      <c r="C22" s="10" t="str">
        <f>IF($B22="","",IFERROR(INDEX(Apoio!$L$3:$L$81,MATCH($B22,Apoio!$K$3:$K$81,0)),""))</f>
        <v>COMERCIALIZADORA</v>
      </c>
      <c r="D22" s="6" t="s">
        <v>34</v>
      </c>
      <c r="E22" s="10" t="str">
        <f>IF($D22="","",IFERROR(INDEX(Apoio!$C$3:$C$81,MATCH($D22,Apoio!$B$3:$B$81,0)),""))</f>
        <v>TI</v>
      </c>
      <c r="F22" s="10" t="str">
        <f>IF($D22="","",IFERROR(INDEX(Apoio!$D$3:$D$81,MATCH($D22,Apoio!$B$3:$B$81,0)),""))</f>
        <v>Marcelo Bronzatti</v>
      </c>
      <c r="G22" s="10">
        <f>IF($H22="","",IFERROR(_xlfn.XLOOKUP(H22,'De x Para DRE'!C:C,'De x Para DRE'!B:B),""))</f>
        <v>5110100702</v>
      </c>
      <c r="H22" s="6" t="s">
        <v>460</v>
      </c>
      <c r="I22" s="10" t="str">
        <f>IF($G22="","",IFERROR(INDEX('De x Para DRE'!$E$3:$E$210,MATCH($G22,'De x Para DRE'!$B$3:$B$210,0)),""))</f>
        <v>3.1 G&amp;A</v>
      </c>
      <c r="J22" s="6" t="s">
        <v>597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8">
        <f t="shared" si="1"/>
        <v>0</v>
      </c>
      <c r="X22" s="9"/>
      <c r="Y22" s="9"/>
      <c r="Z22" s="9"/>
      <c r="AA22" s="9"/>
      <c r="AB22" s="9">
        <v>1800</v>
      </c>
      <c r="AC22" s="9">
        <f>1800+2500.2</f>
        <v>4300.2</v>
      </c>
      <c r="AD22" s="9">
        <f>1800+2500.2</f>
        <v>4300.2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8">
        <f t="shared" si="2"/>
        <v>10400.4</v>
      </c>
      <c r="AK22" s="8">
        <f t="shared" si="3"/>
        <v>10400.4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8">
        <f t="shared" si="5"/>
        <v>0</v>
      </c>
      <c r="AY22" s="7">
        <f t="shared" si="6"/>
        <v>0</v>
      </c>
      <c r="AZ22" s="7">
        <f t="shared" si="4"/>
        <v>-10400.4</v>
      </c>
      <c r="BA22" s="46"/>
      <c r="BB22" s="5" t="s">
        <v>575</v>
      </c>
    </row>
    <row r="23" spans="1:54">
      <c r="A23" s="11">
        <f t="shared" si="0"/>
        <v>16</v>
      </c>
      <c r="B23" s="6" t="s">
        <v>13</v>
      </c>
      <c r="C23" s="10" t="str">
        <f>IF($B23="","",IFERROR(INDEX(Apoio!$L$3:$L$81,MATCH($B23,Apoio!$K$3:$K$81,0)),""))</f>
        <v>COMERCIALIZADORA</v>
      </c>
      <c r="D23" s="6" t="s">
        <v>34</v>
      </c>
      <c r="E23" s="10" t="str">
        <f>IF($D23="","",IFERROR(INDEX(Apoio!$C$3:$C$81,MATCH($D23,Apoio!$B$3:$B$81,0)),""))</f>
        <v>TI</v>
      </c>
      <c r="F23" s="10" t="str">
        <f>IF($D23="","",IFERROR(INDEX(Apoio!$D$3:$D$81,MATCH($D23,Apoio!$B$3:$B$81,0)),""))</f>
        <v>Marcelo Bronzatti</v>
      </c>
      <c r="G23" s="10">
        <f>IF($H23="","",IFERROR(_xlfn.XLOOKUP(H23,'De x Para DRE'!C:C,'De x Para DRE'!B:B),""))</f>
        <v>5110100704</v>
      </c>
      <c r="H23" s="6" t="s">
        <v>462</v>
      </c>
      <c r="I23" s="10" t="str">
        <f>IF($G23="","",IFERROR(INDEX('De x Para DRE'!$E$3:$E$210,MATCH($G23,'De x Para DRE'!$B$3:$B$210,0)),""))</f>
        <v>3.1 G&amp;A</v>
      </c>
      <c r="J23" s="47" t="s">
        <v>598</v>
      </c>
      <c r="K23" s="9">
        <v>350</v>
      </c>
      <c r="L23" s="9">
        <v>350</v>
      </c>
      <c r="M23" s="9">
        <v>350</v>
      </c>
      <c r="N23" s="9">
        <v>350</v>
      </c>
      <c r="O23" s="9">
        <v>350</v>
      </c>
      <c r="P23" s="9">
        <v>350</v>
      </c>
      <c r="Q23" s="9">
        <v>367.5</v>
      </c>
      <c r="R23" s="9">
        <v>367.5</v>
      </c>
      <c r="S23" s="9">
        <v>367.5</v>
      </c>
      <c r="T23" s="9">
        <v>367.5</v>
      </c>
      <c r="U23" s="9">
        <v>367.5</v>
      </c>
      <c r="V23" s="9">
        <v>367.5</v>
      </c>
      <c r="W23" s="8">
        <f t="shared" si="1"/>
        <v>4305</v>
      </c>
      <c r="X23" s="9">
        <v>321.60000000000002</v>
      </c>
      <c r="Y23" s="9">
        <v>328.35</v>
      </c>
      <c r="Z23" s="9">
        <v>321.60000000000002</v>
      </c>
      <c r="AA23" s="9">
        <v>328.14</v>
      </c>
      <c r="AB23" s="9">
        <f>321.6</f>
        <v>321.60000000000002</v>
      </c>
      <c r="AC23" s="9">
        <v>321.60000000000002</v>
      </c>
      <c r="AD23" s="9">
        <v>396.6</v>
      </c>
      <c r="AE23" s="9">
        <v>357.14833333333331</v>
      </c>
      <c r="AF23" s="9">
        <v>357.14833333333331</v>
      </c>
      <c r="AG23" s="9">
        <v>357.14833333333331</v>
      </c>
      <c r="AH23" s="9">
        <v>357.14833333333331</v>
      </c>
      <c r="AI23" s="9">
        <v>357.14833333333331</v>
      </c>
      <c r="AJ23" s="8">
        <f t="shared" si="2"/>
        <v>2696.6383333333333</v>
      </c>
      <c r="AK23" s="8">
        <f t="shared" si="3"/>
        <v>4125.2316666666675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8">
        <f t="shared" si="5"/>
        <v>0</v>
      </c>
      <c r="AY23" s="7">
        <f t="shared" si="6"/>
        <v>-4305</v>
      </c>
      <c r="AZ23" s="7">
        <f t="shared" si="4"/>
        <v>-4125.2316666666675</v>
      </c>
      <c r="BA23" s="46"/>
      <c r="BB23" s="5" t="s">
        <v>575</v>
      </c>
    </row>
    <row r="24" spans="1:54">
      <c r="A24" s="11">
        <f t="shared" si="0"/>
        <v>17</v>
      </c>
      <c r="B24" s="6" t="s">
        <v>13</v>
      </c>
      <c r="C24" s="10" t="str">
        <f>IF($B24="","",IFERROR(INDEX(Apoio!$L$3:$L$81,MATCH($B24,Apoio!$K$3:$K$81,0)),""))</f>
        <v>COMERCIALIZADORA</v>
      </c>
      <c r="D24" s="6" t="s">
        <v>34</v>
      </c>
      <c r="E24" s="10" t="str">
        <f>IF($D24="","",IFERROR(INDEX(Apoio!$C$3:$C$81,MATCH($D24,Apoio!$B$3:$B$81,0)),""))</f>
        <v>TI</v>
      </c>
      <c r="F24" s="10" t="str">
        <f>IF($D24="","",IFERROR(INDEX(Apoio!$D$3:$D$81,MATCH($D24,Apoio!$B$3:$B$81,0)),""))</f>
        <v>Marcelo Bronzatti</v>
      </c>
      <c r="G24" s="10">
        <f>IF($H24="","",IFERROR(_xlfn.XLOOKUP(H24,'De x Para DRE'!C:C,'De x Para DRE'!B:B),""))</f>
        <v>5110100704</v>
      </c>
      <c r="H24" s="6" t="s">
        <v>462</v>
      </c>
      <c r="I24" s="10" t="str">
        <f>IF($G24="","",IFERROR(INDEX('De x Para DRE'!$E$3:$E$210,MATCH($G24,'De x Para DRE'!$B$3:$B$210,0)),""))</f>
        <v>3.1 G&amp;A</v>
      </c>
      <c r="J24" s="47" t="s">
        <v>599</v>
      </c>
      <c r="K24" s="9">
        <v>6600</v>
      </c>
      <c r="L24" s="9">
        <v>6600</v>
      </c>
      <c r="M24" s="9">
        <v>7500</v>
      </c>
      <c r="N24" s="9">
        <v>5000</v>
      </c>
      <c r="O24" s="9">
        <v>5000</v>
      </c>
      <c r="P24" s="9">
        <v>5000</v>
      </c>
      <c r="Q24" s="9">
        <v>5000</v>
      </c>
      <c r="R24" s="9">
        <v>5000</v>
      </c>
      <c r="S24" s="9">
        <v>5000</v>
      </c>
      <c r="T24" s="9">
        <v>5000</v>
      </c>
      <c r="U24" s="9">
        <v>5000</v>
      </c>
      <c r="V24" s="9">
        <v>5000</v>
      </c>
      <c r="W24" s="8">
        <f t="shared" si="1"/>
        <v>65700</v>
      </c>
      <c r="X24" s="9">
        <v>6279.47</v>
      </c>
      <c r="Y24" s="9">
        <f>6380.8-566.99</f>
        <v>5813.81</v>
      </c>
      <c r="Z24" s="9">
        <v>6466.62</v>
      </c>
      <c r="AA24" s="9">
        <v>3878.18</v>
      </c>
      <c r="AB24" s="9">
        <v>3759.55</v>
      </c>
      <c r="AC24" s="9">
        <v>3762.99</v>
      </c>
      <c r="AD24" s="9">
        <v>4131.83</v>
      </c>
      <c r="AE24" s="9">
        <v>4311.3999999999996</v>
      </c>
      <c r="AF24" s="9">
        <v>3800.24</v>
      </c>
      <c r="AG24" s="9">
        <v>3800.24</v>
      </c>
      <c r="AH24" s="9">
        <v>3800.24</v>
      </c>
      <c r="AI24" s="9">
        <v>3800.24</v>
      </c>
      <c r="AJ24" s="8">
        <f t="shared" si="2"/>
        <v>38403.850000000006</v>
      </c>
      <c r="AK24" s="8">
        <f t="shared" si="3"/>
        <v>53604.81</v>
      </c>
      <c r="AL24" s="9">
        <v>3400</v>
      </c>
      <c r="AM24" s="9">
        <v>3400</v>
      </c>
      <c r="AN24" s="9">
        <v>3400</v>
      </c>
      <c r="AO24" s="9">
        <v>3400</v>
      </c>
      <c r="AP24" s="9">
        <v>3400</v>
      </c>
      <c r="AQ24" s="9">
        <v>3400</v>
      </c>
      <c r="AR24" s="9">
        <v>3400</v>
      </c>
      <c r="AS24" s="9">
        <v>3400</v>
      </c>
      <c r="AT24" s="9">
        <v>3400</v>
      </c>
      <c r="AU24" s="9">
        <v>3400</v>
      </c>
      <c r="AV24" s="9">
        <v>3400</v>
      </c>
      <c r="AW24" s="9">
        <v>3400</v>
      </c>
      <c r="AX24" s="8">
        <f t="shared" si="5"/>
        <v>40800</v>
      </c>
      <c r="AY24" s="7">
        <f t="shared" si="6"/>
        <v>-24900</v>
      </c>
      <c r="AZ24" s="7">
        <f t="shared" si="4"/>
        <v>-12804.809999999998</v>
      </c>
      <c r="BA24" s="46" t="s">
        <v>600</v>
      </c>
      <c r="BB24" s="5" t="s">
        <v>575</v>
      </c>
    </row>
    <row r="25" spans="1:54" s="57" customFormat="1" ht="87">
      <c r="A25" s="48">
        <f t="shared" si="0"/>
        <v>18</v>
      </c>
      <c r="B25" s="49" t="s">
        <v>13</v>
      </c>
      <c r="C25" s="50" t="str">
        <f>IF($B25="","",IFERROR(INDEX(Apoio!$L$3:$L$81,MATCH($B25,Apoio!$K$3:$K$81,0)),""))</f>
        <v>COMERCIALIZADORA</v>
      </c>
      <c r="D25" s="49" t="s">
        <v>34</v>
      </c>
      <c r="E25" s="50" t="str">
        <f>IF($D25="","",IFERROR(INDEX(Apoio!$C$3:$C$81,MATCH($D25,Apoio!$B$3:$B$81,0)),""))</f>
        <v>TI</v>
      </c>
      <c r="F25" s="50" t="str">
        <f>IF($D25="","",IFERROR(INDEX(Apoio!$D$3:$D$81,MATCH($D25,Apoio!$B$3:$B$81,0)),""))</f>
        <v>Marcelo Bronzatti</v>
      </c>
      <c r="G25" s="50">
        <f>IF($H25="","",IFERROR(_xlfn.XLOOKUP(H25,'De x Para DRE'!C:C,'De x Para DRE'!B:B),""))</f>
        <v>5110100704</v>
      </c>
      <c r="H25" s="49" t="s">
        <v>462</v>
      </c>
      <c r="I25" s="50" t="str">
        <f>IF($G25="","",IFERROR(INDEX('De x Para DRE'!$E$3:$E$210,MATCH($G25,'De x Para DRE'!$B$3:$B$210,0)),""))</f>
        <v>3.1 G&amp;A</v>
      </c>
      <c r="J25" s="51" t="s">
        <v>601</v>
      </c>
      <c r="K25" s="52">
        <v>2438</v>
      </c>
      <c r="L25" s="52">
        <v>2438</v>
      </c>
      <c r="M25" s="52">
        <v>2438</v>
      </c>
      <c r="N25" s="52">
        <v>2438</v>
      </c>
      <c r="O25" s="52">
        <v>2438</v>
      </c>
      <c r="P25" s="52">
        <v>2438</v>
      </c>
      <c r="Q25" s="52">
        <v>2438</v>
      </c>
      <c r="R25" s="52">
        <v>2438</v>
      </c>
      <c r="S25" s="52">
        <v>2438</v>
      </c>
      <c r="T25" s="52">
        <v>2438</v>
      </c>
      <c r="U25" s="52">
        <v>1000</v>
      </c>
      <c r="V25" s="52">
        <v>1000</v>
      </c>
      <c r="W25" s="53">
        <f t="shared" si="1"/>
        <v>26380</v>
      </c>
      <c r="X25" s="52">
        <v>2871.33</v>
      </c>
      <c r="Y25" s="52">
        <v>2855.78</v>
      </c>
      <c r="Z25" s="52">
        <v>3599.63</v>
      </c>
      <c r="AA25" s="52">
        <v>4248.2599999999993</v>
      </c>
      <c r="AB25" s="52">
        <v>3955.2000000000003</v>
      </c>
      <c r="AC25" s="52">
        <v>4811.1100000000006</v>
      </c>
      <c r="AD25" s="52">
        <f>1462.02+975.95</f>
        <v>2437.9700000000003</v>
      </c>
      <c r="AE25" s="52">
        <v>3884.79</v>
      </c>
      <c r="AF25" s="52">
        <v>3723.5516666666667</v>
      </c>
      <c r="AG25" s="52">
        <v>3723.5516666666667</v>
      </c>
      <c r="AH25" s="52">
        <v>3723.5516666666667</v>
      </c>
      <c r="AI25" s="52">
        <v>3723.5516666666667</v>
      </c>
      <c r="AJ25" s="53">
        <f t="shared" si="2"/>
        <v>28664.070000000003</v>
      </c>
      <c r="AK25" s="53">
        <f t="shared" si="3"/>
        <v>43558.276666666672</v>
      </c>
      <c r="AL25" s="52">
        <v>700</v>
      </c>
      <c r="AM25" s="52">
        <v>700</v>
      </c>
      <c r="AN25" s="52">
        <v>700</v>
      </c>
      <c r="AO25" s="52">
        <v>700</v>
      </c>
      <c r="AP25" s="52">
        <v>700</v>
      </c>
      <c r="AQ25" s="52">
        <v>700</v>
      </c>
      <c r="AR25" s="52">
        <v>730</v>
      </c>
      <c r="AS25" s="52">
        <v>730</v>
      </c>
      <c r="AT25" s="52">
        <v>730</v>
      </c>
      <c r="AU25" s="52">
        <v>730</v>
      </c>
      <c r="AV25" s="52">
        <v>730</v>
      </c>
      <c r="AW25" s="52">
        <v>730</v>
      </c>
      <c r="AX25" s="53">
        <f t="shared" si="5"/>
        <v>8580</v>
      </c>
      <c r="AY25" s="7">
        <f t="shared" si="6"/>
        <v>-17800</v>
      </c>
      <c r="AZ25" s="54">
        <f t="shared" si="4"/>
        <v>-34978.276666666672</v>
      </c>
      <c r="BA25" s="55" t="s">
        <v>602</v>
      </c>
      <c r="BB25" s="56" t="s">
        <v>575</v>
      </c>
    </row>
    <row r="26" spans="1:54">
      <c r="A26" s="11">
        <f t="shared" si="0"/>
        <v>19</v>
      </c>
      <c r="B26" s="6" t="s">
        <v>13</v>
      </c>
      <c r="C26" s="10" t="str">
        <f>IF($B26="","",IFERROR(INDEX(Apoio!$L$3:$L$81,MATCH($B26,Apoio!$K$3:$K$81,0)),""))</f>
        <v>COMERCIALIZADORA</v>
      </c>
      <c r="D26" s="6" t="s">
        <v>34</v>
      </c>
      <c r="E26" s="10" t="str">
        <f>IF($D26="","",IFERROR(INDEX(Apoio!$C$3:$C$81,MATCH($D26,Apoio!$B$3:$B$81,0)),""))</f>
        <v>TI</v>
      </c>
      <c r="F26" s="10" t="str">
        <f>IF($D26="","",IFERROR(INDEX(Apoio!$D$3:$D$81,MATCH($D26,Apoio!$B$3:$B$81,0)),""))</f>
        <v>Marcelo Bronzatti</v>
      </c>
      <c r="G26" s="10">
        <f>IF($H26="","",IFERROR(_xlfn.XLOOKUP(H26,'De x Para DRE'!C:C,'De x Para DRE'!B:B),""))</f>
        <v>5110100705</v>
      </c>
      <c r="H26" s="6" t="s">
        <v>463</v>
      </c>
      <c r="I26" s="10" t="str">
        <f>IF($G26="","",IFERROR(INDEX('De x Para DRE'!$E$3:$E$210,MATCH($G26,'De x Para DRE'!$B$3:$B$210,0)),""))</f>
        <v>3.1 G&amp;A</v>
      </c>
      <c r="J26" s="6" t="s">
        <v>603</v>
      </c>
      <c r="K26" s="9">
        <v>176</v>
      </c>
      <c r="L26" s="9">
        <v>176</v>
      </c>
      <c r="M26" s="9">
        <v>176</v>
      </c>
      <c r="N26" s="9">
        <v>176</v>
      </c>
      <c r="O26" s="9">
        <v>200</v>
      </c>
      <c r="P26" s="9">
        <v>200</v>
      </c>
      <c r="Q26" s="9">
        <v>200</v>
      </c>
      <c r="R26" s="9">
        <v>200</v>
      </c>
      <c r="S26" s="9">
        <v>200</v>
      </c>
      <c r="T26" s="9">
        <v>200</v>
      </c>
      <c r="U26" s="9">
        <v>200</v>
      </c>
      <c r="V26" s="9">
        <v>200</v>
      </c>
      <c r="W26" s="8">
        <f t="shared" si="1"/>
        <v>2304</v>
      </c>
      <c r="X26" s="9">
        <v>146.78</v>
      </c>
      <c r="Y26" s="9">
        <v>192.63</v>
      </c>
      <c r="Z26" s="9">
        <v>189.59</v>
      </c>
      <c r="AA26" s="9">
        <v>189.59</v>
      </c>
      <c r="AB26" s="9">
        <v>189.59</v>
      </c>
      <c r="AC26" s="9">
        <v>189.59</v>
      </c>
      <c r="AD26" s="9">
        <v>189.59</v>
      </c>
      <c r="AE26" s="9">
        <v>189.59</v>
      </c>
      <c r="AF26" s="9">
        <v>189.59</v>
      </c>
      <c r="AG26" s="9">
        <v>189.59</v>
      </c>
      <c r="AH26" s="9">
        <v>189.59</v>
      </c>
      <c r="AI26" s="9">
        <v>189.59</v>
      </c>
      <c r="AJ26" s="8">
        <f t="shared" si="2"/>
        <v>1476.9499999999998</v>
      </c>
      <c r="AK26" s="8">
        <f t="shared" si="3"/>
        <v>2235.3099999999995</v>
      </c>
      <c r="AL26" s="9">
        <v>200</v>
      </c>
      <c r="AM26" s="9">
        <v>200</v>
      </c>
      <c r="AN26" s="9">
        <v>200</v>
      </c>
      <c r="AO26" s="9">
        <v>200</v>
      </c>
      <c r="AP26" s="9">
        <v>200</v>
      </c>
      <c r="AQ26" s="9">
        <v>200</v>
      </c>
      <c r="AR26" s="9">
        <v>200</v>
      </c>
      <c r="AS26" s="9">
        <v>200</v>
      </c>
      <c r="AT26" s="9">
        <v>200</v>
      </c>
      <c r="AU26" s="9">
        <v>200</v>
      </c>
      <c r="AV26" s="9">
        <v>200</v>
      </c>
      <c r="AW26" s="9">
        <v>200</v>
      </c>
      <c r="AX26" s="8">
        <f t="shared" si="5"/>
        <v>2400</v>
      </c>
      <c r="AY26" s="7">
        <f t="shared" si="6"/>
        <v>96</v>
      </c>
      <c r="AZ26" s="7">
        <f t="shared" si="4"/>
        <v>164.69000000000051</v>
      </c>
      <c r="BA26" s="46"/>
      <c r="BB26" s="5" t="s">
        <v>575</v>
      </c>
    </row>
    <row r="27" spans="1:54">
      <c r="A27" s="11">
        <f t="shared" si="0"/>
        <v>20</v>
      </c>
      <c r="B27" s="6" t="s">
        <v>13</v>
      </c>
      <c r="C27" s="10" t="str">
        <f>IF($B27="","",IFERROR(INDEX(Apoio!$L$3:$L$81,MATCH($B27,Apoio!$K$3:$K$81,0)),""))</f>
        <v>COMERCIALIZADORA</v>
      </c>
      <c r="D27" s="6" t="s">
        <v>34</v>
      </c>
      <c r="E27" s="10" t="str">
        <f>IF($D27="","",IFERROR(INDEX(Apoio!$C$3:$C$81,MATCH($D27,Apoio!$B$3:$B$81,0)),""))</f>
        <v>TI</v>
      </c>
      <c r="F27" s="10" t="str">
        <f>IF($D27="","",IFERROR(INDEX(Apoio!$D$3:$D$81,MATCH($D27,Apoio!$B$3:$B$81,0)),""))</f>
        <v>Marcelo Bronzatti</v>
      </c>
      <c r="G27" s="10">
        <f>IF($H27="","",IFERROR(_xlfn.XLOOKUP(H27,'De x Para DRE'!C:C,'De x Para DRE'!B:B),""))</f>
        <v>5110100705</v>
      </c>
      <c r="H27" s="6" t="s">
        <v>463</v>
      </c>
      <c r="I27" s="10" t="str">
        <f>IF($G27="","",IFERROR(INDEX('De x Para DRE'!$E$3:$E$210,MATCH($G27,'De x Para DRE'!$B$3:$B$210,0)),""))</f>
        <v>3.1 G&amp;A</v>
      </c>
      <c r="J27" s="6" t="s">
        <v>604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8">
        <f t="shared" si="1"/>
        <v>0</v>
      </c>
      <c r="X27" s="9">
        <f>1201.43+1241.48</f>
        <v>2442.91</v>
      </c>
      <c r="Y27" s="9">
        <f>1241.48*2</f>
        <v>2482.96</v>
      </c>
      <c r="Z27" s="9"/>
      <c r="AA27" s="9"/>
      <c r="AB27" s="9"/>
      <c r="AC27" s="9"/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8">
        <f t="shared" si="2"/>
        <v>4925.87</v>
      </c>
      <c r="AK27" s="8">
        <f t="shared" si="3"/>
        <v>4925.87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8">
        <f t="shared" si="5"/>
        <v>0</v>
      </c>
      <c r="AY27" s="7">
        <f t="shared" si="6"/>
        <v>0</v>
      </c>
      <c r="AZ27" s="7">
        <f t="shared" si="4"/>
        <v>-4925.87</v>
      </c>
      <c r="BA27" s="46"/>
      <c r="BB27" s="5" t="s">
        <v>575</v>
      </c>
    </row>
    <row r="28" spans="1:54">
      <c r="A28" s="11">
        <f t="shared" si="0"/>
        <v>21</v>
      </c>
      <c r="B28" s="6" t="s">
        <v>13</v>
      </c>
      <c r="C28" s="10" t="str">
        <f>IF($B28="","",IFERROR(INDEX(Apoio!$L$3:$L$81,MATCH($B28,Apoio!$K$3:$K$81,0)),""))</f>
        <v>COMERCIALIZADORA</v>
      </c>
      <c r="D28" s="6" t="s">
        <v>34</v>
      </c>
      <c r="E28" s="10" t="str">
        <f>IF($D28="","",IFERROR(INDEX(Apoio!$C$3:$C$81,MATCH($D28,Apoio!$B$3:$B$81,0)),""))</f>
        <v>TI</v>
      </c>
      <c r="F28" s="10" t="str">
        <f>IF($D28="","",IFERROR(INDEX(Apoio!$D$3:$D$81,MATCH($D28,Apoio!$B$3:$B$81,0)),""))</f>
        <v>Marcelo Bronzatti</v>
      </c>
      <c r="G28" s="10">
        <f>IF($H28="","",IFERROR(_xlfn.XLOOKUP(H28,'De x Para DRE'!C:C,'De x Para DRE'!B:B),""))</f>
        <v>5110100705</v>
      </c>
      <c r="H28" s="6" t="s">
        <v>463</v>
      </c>
      <c r="I28" s="10" t="str">
        <f>IF($G28="","",IFERROR(INDEX('De x Para DRE'!$E$3:$E$210,MATCH($G28,'De x Para DRE'!$B$3:$B$210,0)),""))</f>
        <v>3.1 G&amp;A</v>
      </c>
      <c r="J28" s="6" t="s">
        <v>605</v>
      </c>
      <c r="K28" s="9">
        <v>2750</v>
      </c>
      <c r="L28" s="9">
        <v>2750</v>
      </c>
      <c r="M28" s="9">
        <v>2750</v>
      </c>
      <c r="N28" s="9">
        <v>2750</v>
      </c>
      <c r="O28" s="9">
        <v>2750</v>
      </c>
      <c r="P28" s="9">
        <v>2750</v>
      </c>
      <c r="Q28" s="9">
        <v>2750</v>
      </c>
      <c r="R28" s="9">
        <v>2750</v>
      </c>
      <c r="S28" s="9">
        <v>2750</v>
      </c>
      <c r="T28" s="9">
        <v>2750</v>
      </c>
      <c r="U28" s="9">
        <v>2750</v>
      </c>
      <c r="V28" s="9">
        <v>2750</v>
      </c>
      <c r="W28" s="8">
        <f t="shared" si="1"/>
        <v>33000</v>
      </c>
      <c r="X28" s="9">
        <v>1201.43</v>
      </c>
      <c r="Y28" s="9">
        <f>1500+1480.5</f>
        <v>2980.5</v>
      </c>
      <c r="Z28" s="9">
        <f>680.81+1241.48+1500</f>
        <v>3422.29</v>
      </c>
      <c r="AA28" s="9">
        <v>2741.48</v>
      </c>
      <c r="AB28" s="9">
        <v>2741.48</v>
      </c>
      <c r="AC28" s="9">
        <v>2741.48</v>
      </c>
      <c r="AD28" s="9">
        <v>2741.48</v>
      </c>
      <c r="AE28" s="9">
        <v>2741.48</v>
      </c>
      <c r="AF28" s="9">
        <v>2741.48</v>
      </c>
      <c r="AG28" s="9">
        <v>2741.48</v>
      </c>
      <c r="AH28" s="9">
        <v>2741.48</v>
      </c>
      <c r="AI28" s="9">
        <v>2741.48</v>
      </c>
      <c r="AJ28" s="8">
        <f t="shared" si="2"/>
        <v>21311.62</v>
      </c>
      <c r="AK28" s="8">
        <f t="shared" si="3"/>
        <v>32277.539999999997</v>
      </c>
      <c r="AL28" s="9">
        <v>2741</v>
      </c>
      <c r="AM28" s="9">
        <v>2741</v>
      </c>
      <c r="AN28" s="9">
        <v>2741</v>
      </c>
      <c r="AO28" s="9">
        <v>2741</v>
      </c>
      <c r="AP28" s="9">
        <v>2741</v>
      </c>
      <c r="AQ28" s="9">
        <v>2741</v>
      </c>
      <c r="AR28" s="9">
        <v>2741</v>
      </c>
      <c r="AS28" s="9">
        <v>2741</v>
      </c>
      <c r="AT28" s="9">
        <v>2741</v>
      </c>
      <c r="AU28" s="9">
        <v>2741</v>
      </c>
      <c r="AV28" s="9">
        <v>2741</v>
      </c>
      <c r="AW28" s="9">
        <v>2741</v>
      </c>
      <c r="AX28" s="8">
        <f t="shared" si="5"/>
        <v>32892</v>
      </c>
      <c r="AY28" s="7">
        <f t="shared" si="6"/>
        <v>-108</v>
      </c>
      <c r="AZ28" s="7">
        <f t="shared" ref="AZ28:AZ47" si="9">IF($AX28="","",$AX28-IF($AK28="",0,$AK28))</f>
        <v>614.46000000000276</v>
      </c>
      <c r="BA28" s="46"/>
      <c r="BB28" s="5" t="s">
        <v>575</v>
      </c>
    </row>
    <row r="29" spans="1:54">
      <c r="A29" s="11">
        <f t="shared" si="0"/>
        <v>22</v>
      </c>
      <c r="B29" s="6" t="s">
        <v>13</v>
      </c>
      <c r="C29" s="10" t="str">
        <f>IF($B29="","",IFERROR(INDEX(Apoio!$L$3:$L$81,MATCH($B29,Apoio!$K$3:$K$81,0)),""))</f>
        <v>COMERCIALIZADORA</v>
      </c>
      <c r="D29" s="6" t="s">
        <v>34</v>
      </c>
      <c r="E29" s="10" t="str">
        <f>IF($D29="","",IFERROR(INDEX(Apoio!$C$3:$C$81,MATCH($D29,Apoio!$B$3:$B$81,0)),""))</f>
        <v>TI</v>
      </c>
      <c r="F29" s="10" t="str">
        <f>IF($D29="","",IFERROR(INDEX(Apoio!$D$3:$D$81,MATCH($D29,Apoio!$B$3:$B$81,0)),""))</f>
        <v>Marcelo Bronzatti</v>
      </c>
      <c r="G29" s="10">
        <f>IF($H29="","",IFERROR(_xlfn.XLOOKUP(H29,'De x Para DRE'!C:C,'De x Para DRE'!B:B),""))</f>
        <v>5110100705</v>
      </c>
      <c r="H29" s="6" t="s">
        <v>463</v>
      </c>
      <c r="I29" s="10" t="str">
        <f>IF($G29="","",IFERROR(INDEX('De x Para DRE'!$E$3:$E$210,MATCH($G29,'De x Para DRE'!$B$3:$B$210,0)),""))</f>
        <v>3.1 G&amp;A</v>
      </c>
      <c r="J29" s="6" t="s">
        <v>606</v>
      </c>
      <c r="K29" s="9">
        <v>60</v>
      </c>
      <c r="L29" s="9">
        <v>60</v>
      </c>
      <c r="M29" s="9">
        <v>60</v>
      </c>
      <c r="N29" s="9">
        <v>60</v>
      </c>
      <c r="O29" s="9">
        <v>400</v>
      </c>
      <c r="P29" s="9">
        <v>400</v>
      </c>
      <c r="Q29" s="9">
        <v>400</v>
      </c>
      <c r="R29" s="9">
        <v>400</v>
      </c>
      <c r="S29" s="9">
        <v>400</v>
      </c>
      <c r="T29" s="9">
        <v>400</v>
      </c>
      <c r="U29" s="9">
        <v>400</v>
      </c>
      <c r="V29" s="9">
        <v>400</v>
      </c>
      <c r="W29" s="8">
        <f t="shared" si="1"/>
        <v>3440</v>
      </c>
      <c r="X29" s="9">
        <v>54.39</v>
      </c>
      <c r="Y29" s="9">
        <v>66.75</v>
      </c>
      <c r="Z29" s="9">
        <v>35.409999999999997</v>
      </c>
      <c r="AA29" s="9">
        <v>37.01</v>
      </c>
      <c r="AB29" s="9">
        <f>357.42</f>
        <v>357.42</v>
      </c>
      <c r="AC29" s="9">
        <f>359.48</f>
        <v>359.48</v>
      </c>
      <c r="AD29" s="9">
        <v>489.36</v>
      </c>
      <c r="AE29" s="9">
        <v>743.5</v>
      </c>
      <c r="AF29" s="9">
        <v>359.48</v>
      </c>
      <c r="AG29" s="9">
        <v>359.48</v>
      </c>
      <c r="AH29" s="9">
        <v>359.48</v>
      </c>
      <c r="AI29" s="9">
        <v>359.48</v>
      </c>
      <c r="AJ29" s="8">
        <f t="shared" si="2"/>
        <v>2143.3200000000002</v>
      </c>
      <c r="AK29" s="8">
        <f t="shared" si="3"/>
        <v>3581.2400000000002</v>
      </c>
      <c r="AL29" s="9">
        <v>1500</v>
      </c>
      <c r="AM29" s="9">
        <v>1500</v>
      </c>
      <c r="AN29" s="9">
        <v>1500</v>
      </c>
      <c r="AO29" s="9">
        <v>1500</v>
      </c>
      <c r="AP29" s="9">
        <v>1500</v>
      </c>
      <c r="AQ29" s="9">
        <v>1500</v>
      </c>
      <c r="AR29" s="9">
        <v>1500</v>
      </c>
      <c r="AS29" s="9">
        <v>1500</v>
      </c>
      <c r="AT29" s="9">
        <v>1500</v>
      </c>
      <c r="AU29" s="9">
        <v>1500</v>
      </c>
      <c r="AV29" s="9">
        <v>1500</v>
      </c>
      <c r="AW29" s="9">
        <v>1500</v>
      </c>
      <c r="AX29" s="8">
        <f t="shared" si="5"/>
        <v>18000</v>
      </c>
      <c r="AY29" s="7">
        <f t="shared" si="6"/>
        <v>14560</v>
      </c>
      <c r="AZ29" s="7">
        <f t="shared" si="9"/>
        <v>14418.76</v>
      </c>
      <c r="BA29" s="46"/>
      <c r="BB29" s="5" t="s">
        <v>575</v>
      </c>
    </row>
    <row r="30" spans="1:54">
      <c r="A30" s="11">
        <f t="shared" si="0"/>
        <v>23</v>
      </c>
      <c r="B30" s="6" t="s">
        <v>13</v>
      </c>
      <c r="C30" s="10" t="str">
        <f>IF($B30="","",IFERROR(INDEX(Apoio!$L$3:$L$81,MATCH($B30,Apoio!$K$3:$K$81,0)),""))</f>
        <v>COMERCIALIZADORA</v>
      </c>
      <c r="D30" s="6" t="s">
        <v>34</v>
      </c>
      <c r="E30" s="10" t="str">
        <f>IF($D30="","",IFERROR(INDEX(Apoio!$C$3:$C$81,MATCH($D30,Apoio!$B$3:$B$81,0)),""))</f>
        <v>TI</v>
      </c>
      <c r="F30" s="10" t="str">
        <f>IF($D30="","",IFERROR(INDEX(Apoio!$D$3:$D$81,MATCH($D30,Apoio!$B$3:$B$81,0)),""))</f>
        <v>Marcelo Bronzatti</v>
      </c>
      <c r="G30" s="10">
        <f>IF($H30="","",IFERROR(_xlfn.XLOOKUP(H30,'De x Para DRE'!C:C,'De x Para DRE'!B:B),""))</f>
        <v>5110100803</v>
      </c>
      <c r="H30" s="6" t="s">
        <v>468</v>
      </c>
      <c r="I30" s="10" t="str">
        <f>IF($G30="","",IFERROR(INDEX('De x Para DRE'!$E$3:$E$210,MATCH($G30,'De x Para DRE'!$B$3:$B$210,0)),""))</f>
        <v>3.1 G&amp;A</v>
      </c>
      <c r="J30" s="6" t="s">
        <v>607</v>
      </c>
      <c r="K30" s="9">
        <v>240.73874999999998</v>
      </c>
      <c r="L30" s="9">
        <v>240.73874999999998</v>
      </c>
      <c r="M30" s="9">
        <v>240.73874999999998</v>
      </c>
      <c r="N30" s="9">
        <v>240.73874999999998</v>
      </c>
      <c r="O30" s="9">
        <v>240.73874999999998</v>
      </c>
      <c r="P30" s="9">
        <v>240.73874999999998</v>
      </c>
      <c r="Q30" s="9">
        <v>240.73874999999998</v>
      </c>
      <c r="R30" s="9">
        <v>240.73874999999998</v>
      </c>
      <c r="S30" s="9">
        <v>240.73874999999998</v>
      </c>
      <c r="T30" s="9">
        <v>240.73874999999998</v>
      </c>
      <c r="U30" s="9">
        <v>240.73874999999998</v>
      </c>
      <c r="V30" s="9">
        <v>240.73874999999998</v>
      </c>
      <c r="W30" s="8">
        <f t="shared" si="1"/>
        <v>2888.8649999999998</v>
      </c>
      <c r="X30" s="9">
        <v>0</v>
      </c>
      <c r="Y30" s="9">
        <v>1116.1500000000001</v>
      </c>
      <c r="Z30" s="9">
        <v>2370.4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8">
        <f t="shared" si="2"/>
        <v>3486.55</v>
      </c>
      <c r="AK30" s="8">
        <f t="shared" si="3"/>
        <v>3486.55</v>
      </c>
      <c r="AL30" s="9">
        <v>500</v>
      </c>
      <c r="AM30" s="9">
        <v>500</v>
      </c>
      <c r="AN30" s="9">
        <v>500</v>
      </c>
      <c r="AO30" s="9">
        <v>500</v>
      </c>
      <c r="AP30" s="9">
        <v>500</v>
      </c>
      <c r="AQ30" s="9">
        <v>500</v>
      </c>
      <c r="AR30" s="9">
        <v>500</v>
      </c>
      <c r="AS30" s="9">
        <v>500</v>
      </c>
      <c r="AT30" s="9">
        <v>500</v>
      </c>
      <c r="AU30" s="9">
        <v>500</v>
      </c>
      <c r="AV30" s="9">
        <v>500</v>
      </c>
      <c r="AW30" s="9">
        <v>500</v>
      </c>
      <c r="AX30" s="8">
        <f t="shared" si="5"/>
        <v>6000</v>
      </c>
      <c r="AY30" s="7">
        <f t="shared" si="6"/>
        <v>3111.1350000000002</v>
      </c>
      <c r="AZ30" s="7">
        <f t="shared" si="9"/>
        <v>2513.4499999999998</v>
      </c>
      <c r="BA30" s="46"/>
      <c r="BB30" s="5" t="s">
        <v>575</v>
      </c>
    </row>
    <row r="31" spans="1:54">
      <c r="A31" s="11">
        <f t="shared" si="0"/>
        <v>24</v>
      </c>
      <c r="B31" s="6" t="s">
        <v>13</v>
      </c>
      <c r="C31" s="10" t="str">
        <f>IF($B31="","",IFERROR(INDEX(Apoio!$L$3:$L$81,MATCH($B31,Apoio!$K$3:$K$81,0)),""))</f>
        <v>COMERCIALIZADORA</v>
      </c>
      <c r="D31" s="6" t="s">
        <v>34</v>
      </c>
      <c r="E31" s="10" t="str">
        <f>IF($D31="","",IFERROR(INDEX(Apoio!$C$3:$C$81,MATCH($D31,Apoio!$B$3:$B$81,0)),""))</f>
        <v>TI</v>
      </c>
      <c r="F31" s="10" t="str">
        <f>IF($D31="","",IFERROR(INDEX(Apoio!$D$3:$D$81,MATCH($D31,Apoio!$B$3:$B$81,0)),""))</f>
        <v>Marcelo Bronzatti</v>
      </c>
      <c r="G31" s="10">
        <f>IF($H31="","",IFERROR(_xlfn.XLOOKUP(H31,'De x Para DRE'!C:C,'De x Para DRE'!B:B),""))</f>
        <v>5110100804</v>
      </c>
      <c r="H31" s="6" t="s">
        <v>469</v>
      </c>
      <c r="I31" s="10" t="str">
        <f>IF($G31="","",IFERROR(INDEX('De x Para DRE'!$E$3:$E$210,MATCH($G31,'De x Para DRE'!$B$3:$B$210,0)),""))</f>
        <v>3.1 G&amp;A</v>
      </c>
      <c r="J31" s="6" t="s">
        <v>608</v>
      </c>
      <c r="K31" s="9">
        <v>737.79</v>
      </c>
      <c r="L31" s="9">
        <v>737.79</v>
      </c>
      <c r="M31" s="9">
        <v>737.79</v>
      </c>
      <c r="N31" s="9">
        <v>737.79</v>
      </c>
      <c r="O31" s="9">
        <v>737.79</v>
      </c>
      <c r="P31" s="9">
        <v>737.79</v>
      </c>
      <c r="Q31" s="9">
        <v>737.79</v>
      </c>
      <c r="R31" s="9">
        <v>737.79</v>
      </c>
      <c r="S31" s="9">
        <v>737.79</v>
      </c>
      <c r="T31" s="9">
        <v>737.79</v>
      </c>
      <c r="U31" s="9">
        <v>737.79</v>
      </c>
      <c r="V31" s="9">
        <v>737.79</v>
      </c>
      <c r="W31" s="8">
        <f t="shared" si="1"/>
        <v>8853.48</v>
      </c>
      <c r="X31" s="9">
        <v>2923.11</v>
      </c>
      <c r="Y31" s="9">
        <v>1418.42</v>
      </c>
      <c r="Z31" s="9">
        <v>3915.0200000000004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8">
        <f t="shared" si="2"/>
        <v>8256.5500000000011</v>
      </c>
      <c r="AK31" s="8">
        <f t="shared" si="3"/>
        <v>8256.5500000000011</v>
      </c>
      <c r="AL31" s="9">
        <v>600</v>
      </c>
      <c r="AM31" s="9">
        <v>600</v>
      </c>
      <c r="AN31" s="9">
        <v>600</v>
      </c>
      <c r="AO31" s="9">
        <v>600</v>
      </c>
      <c r="AP31" s="9">
        <v>600</v>
      </c>
      <c r="AQ31" s="9">
        <v>600</v>
      </c>
      <c r="AR31" s="9">
        <v>600</v>
      </c>
      <c r="AS31" s="9">
        <v>600</v>
      </c>
      <c r="AT31" s="9">
        <v>600</v>
      </c>
      <c r="AU31" s="9">
        <v>600</v>
      </c>
      <c r="AV31" s="9">
        <v>600</v>
      </c>
      <c r="AW31" s="9">
        <v>600</v>
      </c>
      <c r="AX31" s="8">
        <f t="shared" si="5"/>
        <v>7200</v>
      </c>
      <c r="AY31" s="7">
        <f t="shared" si="6"/>
        <v>-1653.4799999999996</v>
      </c>
      <c r="AZ31" s="7">
        <f t="shared" si="9"/>
        <v>-1056.5500000000011</v>
      </c>
      <c r="BA31" s="46"/>
      <c r="BB31" s="5" t="s">
        <v>575</v>
      </c>
    </row>
    <row r="32" spans="1:54">
      <c r="A32" s="11">
        <f t="shared" si="0"/>
        <v>25</v>
      </c>
      <c r="B32" s="6" t="s">
        <v>13</v>
      </c>
      <c r="C32" s="10" t="str">
        <f>IF($B32="","",IFERROR(INDEX(Apoio!$L$3:$L$81,MATCH($B32,Apoio!$K$3:$K$81,0)),""))</f>
        <v>COMERCIALIZADORA</v>
      </c>
      <c r="D32" s="6" t="s">
        <v>34</v>
      </c>
      <c r="E32" s="10" t="str">
        <f>IF($D32="","",IFERROR(INDEX(Apoio!$C$3:$C$81,MATCH($D32,Apoio!$B$3:$B$81,0)),""))</f>
        <v>TI</v>
      </c>
      <c r="F32" s="10" t="str">
        <f>IF($D32="","",IFERROR(INDEX(Apoio!$D$3:$D$81,MATCH($D32,Apoio!$B$3:$B$81,0)),""))</f>
        <v>Marcelo Bronzatti</v>
      </c>
      <c r="G32" s="10">
        <f>IF($H32="","",IFERROR(_xlfn.XLOOKUP(H32,'De x Para DRE'!C:C,'De x Para DRE'!B:B),""))</f>
        <v>5110100917</v>
      </c>
      <c r="H32" s="6" t="s">
        <v>490</v>
      </c>
      <c r="I32" s="10" t="str">
        <f>IF($G32="","",IFERROR(INDEX('De x Para DRE'!$E$3:$E$210,MATCH($G32,'De x Para DRE'!$B$3:$B$210,0)),""))</f>
        <v>3.1 G&amp;A</v>
      </c>
      <c r="J32" s="6" t="s">
        <v>609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8">
        <f t="shared" si="1"/>
        <v>0</v>
      </c>
      <c r="X32" s="9"/>
      <c r="Y32" s="9"/>
      <c r="Z32" s="9">
        <v>642.5</v>
      </c>
      <c r="AA32" s="9"/>
      <c r="AB32" s="9"/>
      <c r="AC32" s="9"/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8">
        <f t="shared" si="2"/>
        <v>642.5</v>
      </c>
      <c r="AK32" s="8">
        <f t="shared" si="3"/>
        <v>642.5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8">
        <f t="shared" si="5"/>
        <v>0</v>
      </c>
      <c r="AY32" s="7">
        <f t="shared" si="6"/>
        <v>0</v>
      </c>
      <c r="AZ32" s="7">
        <f t="shared" si="9"/>
        <v>-642.5</v>
      </c>
      <c r="BA32" s="46"/>
      <c r="BB32" s="5" t="s">
        <v>575</v>
      </c>
    </row>
    <row r="33" spans="1:54">
      <c r="A33" s="11">
        <f t="shared" si="0"/>
        <v>26</v>
      </c>
      <c r="B33" s="6" t="s">
        <v>13</v>
      </c>
      <c r="C33" s="10" t="str">
        <f>IF($B33="","",IFERROR(INDEX(Apoio!$L$3:$L$81,MATCH($B33,Apoio!$K$3:$K$81,0)),""))</f>
        <v>COMERCIALIZADORA</v>
      </c>
      <c r="D33" s="6" t="s">
        <v>34</v>
      </c>
      <c r="E33" s="10" t="str">
        <f>IF($D33="","",IFERROR(INDEX(Apoio!$C$3:$C$81,MATCH($D33,Apoio!$B$3:$B$81,0)),""))</f>
        <v>TI</v>
      </c>
      <c r="F33" s="10" t="str">
        <f>IF($D33="","",IFERROR(INDEX(Apoio!$D$3:$D$81,MATCH($D33,Apoio!$B$3:$B$81,0)),""))</f>
        <v>Marcelo Bronzatti</v>
      </c>
      <c r="G33" s="10">
        <f>IF($H33="","",IFERROR(_xlfn.XLOOKUP(H33,'De x Para DRE'!C:C,'De x Para DRE'!B:B),""))</f>
        <v>5110100706</v>
      </c>
      <c r="H33" s="6" t="s">
        <v>464</v>
      </c>
      <c r="I33" s="10" t="str">
        <f>IF($G33="","",IFERROR(INDEX('De x Para DRE'!$E$3:$E$210,MATCH($G33,'De x Para DRE'!$B$3:$B$210,0)),""))</f>
        <v>3.1 G&amp;A</v>
      </c>
      <c r="J33" s="47" t="s">
        <v>610</v>
      </c>
      <c r="K33" s="9"/>
      <c r="L33" s="9"/>
      <c r="M33" s="9"/>
      <c r="N33" s="9">
        <v>600</v>
      </c>
      <c r="O33" s="9">
        <v>600</v>
      </c>
      <c r="P33" s="9">
        <v>600</v>
      </c>
      <c r="Q33" s="9">
        <v>600</v>
      </c>
      <c r="R33" s="9">
        <v>600</v>
      </c>
      <c r="S33" s="9">
        <v>600</v>
      </c>
      <c r="T33" s="9">
        <v>600</v>
      </c>
      <c r="U33" s="9">
        <v>600</v>
      </c>
      <c r="V33" s="9">
        <v>600</v>
      </c>
      <c r="W33" s="8">
        <f t="shared" si="1"/>
        <v>5400</v>
      </c>
      <c r="X33" s="9"/>
      <c r="Y33" s="9"/>
      <c r="Z33" s="9">
        <v>600</v>
      </c>
      <c r="AA33" s="9"/>
      <c r="AB33" s="9">
        <v>600</v>
      </c>
      <c r="AC33" s="9">
        <v>600</v>
      </c>
      <c r="AD33" s="9">
        <v>600</v>
      </c>
      <c r="AE33" s="9">
        <v>600</v>
      </c>
      <c r="AF33" s="9">
        <v>600</v>
      </c>
      <c r="AG33" s="9">
        <v>600</v>
      </c>
      <c r="AH33" s="9">
        <v>600</v>
      </c>
      <c r="AI33" s="9">
        <v>600</v>
      </c>
      <c r="AJ33" s="8">
        <f t="shared" si="2"/>
        <v>3000</v>
      </c>
      <c r="AK33" s="8">
        <f t="shared" si="3"/>
        <v>5400</v>
      </c>
      <c r="AL33" s="9">
        <v>600</v>
      </c>
      <c r="AM33" s="9">
        <v>600</v>
      </c>
      <c r="AN33" s="9">
        <v>600</v>
      </c>
      <c r="AO33" s="9">
        <v>600</v>
      </c>
      <c r="AP33" s="9">
        <v>600</v>
      </c>
      <c r="AQ33" s="9">
        <v>600</v>
      </c>
      <c r="AR33" s="9">
        <v>600</v>
      </c>
      <c r="AS33" s="9">
        <v>600</v>
      </c>
      <c r="AT33" s="9">
        <v>600</v>
      </c>
      <c r="AU33" s="9">
        <v>600</v>
      </c>
      <c r="AV33" s="9">
        <v>600</v>
      </c>
      <c r="AW33" s="9">
        <v>600</v>
      </c>
      <c r="AX33" s="8">
        <f t="shared" si="5"/>
        <v>7200</v>
      </c>
      <c r="AY33" s="7">
        <f t="shared" si="6"/>
        <v>1800</v>
      </c>
      <c r="AZ33" s="7">
        <f t="shared" si="9"/>
        <v>1800</v>
      </c>
      <c r="BA33" s="46"/>
      <c r="BB33" s="5" t="s">
        <v>575</v>
      </c>
    </row>
    <row r="34" spans="1:54">
      <c r="A34" s="11">
        <f t="shared" si="0"/>
        <v>27</v>
      </c>
      <c r="B34" s="6" t="s">
        <v>13</v>
      </c>
      <c r="C34" s="10" t="str">
        <f>IF($B34="","",IFERROR(INDEX(Apoio!$L$3:$L$81,MATCH($B34,Apoio!$K$3:$K$81,0)),""))</f>
        <v>COMERCIALIZADORA</v>
      </c>
      <c r="D34" s="6" t="s">
        <v>34</v>
      </c>
      <c r="E34" s="10" t="str">
        <f>IF($D34="","",IFERROR(INDEX(Apoio!$C$3:$C$81,MATCH($D34,Apoio!$B$3:$B$81,0)),""))</f>
        <v>TI</v>
      </c>
      <c r="F34" s="10" t="str">
        <f>IF($D34="","",IFERROR(INDEX(Apoio!$D$3:$D$81,MATCH($D34,Apoio!$B$3:$B$81,0)),""))</f>
        <v>Marcelo Bronzatti</v>
      </c>
      <c r="G34" s="10">
        <f>IF($H34="","",IFERROR(_xlfn.XLOOKUP(H34,'De x Para DRE'!C:C,'De x Para DRE'!B:B),""))</f>
        <v>5110100204</v>
      </c>
      <c r="H34" s="6" t="s">
        <v>423</v>
      </c>
      <c r="I34" s="10" t="str">
        <f>IF($G34="","",IFERROR(INDEX('De x Para DRE'!$E$3:$E$210,MATCH($G34,'De x Para DRE'!$B$3:$B$210,0)),""))</f>
        <v>3.1 G&amp;A</v>
      </c>
      <c r="J34" s="6" t="s">
        <v>611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8">
        <f t="shared" si="1"/>
        <v>0</v>
      </c>
      <c r="X34" s="9"/>
      <c r="Y34" s="9"/>
      <c r="Z34" s="9">
        <f>647.5*3</f>
        <v>1942.5</v>
      </c>
      <c r="AA34" s="9"/>
      <c r="AB34" s="9"/>
      <c r="AC34" s="9"/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8">
        <f t="shared" si="2"/>
        <v>1942.5</v>
      </c>
      <c r="AK34" s="8">
        <f t="shared" si="3"/>
        <v>1942.5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8">
        <f t="shared" si="5"/>
        <v>0</v>
      </c>
      <c r="AY34" s="7">
        <f t="shared" si="6"/>
        <v>0</v>
      </c>
      <c r="AZ34" s="7">
        <f t="shared" si="9"/>
        <v>-1942.5</v>
      </c>
      <c r="BA34" s="46"/>
      <c r="BB34" s="5" t="s">
        <v>575</v>
      </c>
    </row>
    <row r="35" spans="1:54">
      <c r="A35" s="11">
        <f t="shared" si="0"/>
        <v>28</v>
      </c>
      <c r="B35" s="6" t="s">
        <v>13</v>
      </c>
      <c r="C35" s="10" t="str">
        <f>IF($B35="","",IFERROR(INDEX(Apoio!$L$3:$L$81,MATCH($B35,Apoio!$K$3:$K$81,0)),""))</f>
        <v>COMERCIALIZADORA</v>
      </c>
      <c r="D35" s="6" t="s">
        <v>34</v>
      </c>
      <c r="E35" s="10" t="str">
        <f>IF($D35="","",IFERROR(INDEX(Apoio!$C$3:$C$81,MATCH($D35,Apoio!$B$3:$B$81,0)),""))</f>
        <v>TI</v>
      </c>
      <c r="F35" s="10" t="str">
        <f>IF($D35="","",IFERROR(INDEX(Apoio!$D$3:$D$81,MATCH($D35,Apoio!$B$3:$B$81,0)),""))</f>
        <v>Marcelo Bronzatti</v>
      </c>
      <c r="G35" s="10">
        <f>IF($H35="","",IFERROR(_xlfn.XLOOKUP(H35,'De x Para DRE'!C:C,'De x Para DRE'!B:B),""))</f>
        <v>5110100802</v>
      </c>
      <c r="H35" s="6" t="s">
        <v>467</v>
      </c>
      <c r="I35" s="10" t="str">
        <f>IF($G35="","",IFERROR(INDEX('De x Para DRE'!$E$3:$E$210,MATCH($G35,'De x Para DRE'!$B$3:$B$210,0)),""))</f>
        <v>3.1 G&amp;A</v>
      </c>
      <c r="J35" s="6" t="s">
        <v>612</v>
      </c>
      <c r="K35" s="9">
        <v>181.12750000000003</v>
      </c>
      <c r="L35" s="9">
        <v>181.12750000000003</v>
      </c>
      <c r="M35" s="9">
        <v>181.12750000000003</v>
      </c>
      <c r="N35" s="9">
        <v>181.12750000000003</v>
      </c>
      <c r="O35" s="9">
        <v>181.12750000000003</v>
      </c>
      <c r="P35" s="9">
        <v>181.12750000000003</v>
      </c>
      <c r="Q35" s="9">
        <v>181.12750000000003</v>
      </c>
      <c r="R35" s="9">
        <v>181.12750000000003</v>
      </c>
      <c r="S35" s="9">
        <v>181.12750000000003</v>
      </c>
      <c r="T35" s="9">
        <v>181.12750000000003</v>
      </c>
      <c r="U35" s="9">
        <v>181.12750000000003</v>
      </c>
      <c r="V35" s="9">
        <v>181.12750000000003</v>
      </c>
      <c r="W35" s="8">
        <f t="shared" si="1"/>
        <v>2173.5300000000002</v>
      </c>
      <c r="X35" s="9">
        <v>0</v>
      </c>
      <c r="Y35" s="9">
        <v>0</v>
      </c>
      <c r="Z35" s="9">
        <v>1099.9199999999998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8">
        <f t="shared" si="2"/>
        <v>1099.9199999999998</v>
      </c>
      <c r="AK35" s="8">
        <f t="shared" si="3"/>
        <v>1099.9199999999998</v>
      </c>
      <c r="AL35" s="9">
        <v>200</v>
      </c>
      <c r="AM35" s="9">
        <v>200</v>
      </c>
      <c r="AN35" s="9">
        <v>200</v>
      </c>
      <c r="AO35" s="9">
        <v>200</v>
      </c>
      <c r="AP35" s="9">
        <v>200</v>
      </c>
      <c r="AQ35" s="9">
        <v>200</v>
      </c>
      <c r="AR35" s="9">
        <v>200</v>
      </c>
      <c r="AS35" s="9">
        <v>200</v>
      </c>
      <c r="AT35" s="9">
        <v>200</v>
      </c>
      <c r="AU35" s="9">
        <v>200</v>
      </c>
      <c r="AV35" s="9">
        <v>200</v>
      </c>
      <c r="AW35" s="9">
        <v>200</v>
      </c>
      <c r="AX35" s="8">
        <f t="shared" si="5"/>
        <v>2400</v>
      </c>
      <c r="AY35" s="7">
        <f t="shared" si="6"/>
        <v>226.4699999999998</v>
      </c>
      <c r="AZ35" s="7">
        <f t="shared" si="9"/>
        <v>1300.0800000000002</v>
      </c>
      <c r="BA35" s="46"/>
      <c r="BB35" s="5" t="s">
        <v>575</v>
      </c>
    </row>
    <row r="36" spans="1:54">
      <c r="A36" s="11">
        <f t="shared" si="0"/>
        <v>29</v>
      </c>
      <c r="B36" s="6" t="s">
        <v>13</v>
      </c>
      <c r="C36" s="10" t="str">
        <f>IF($B36="","",IFERROR(INDEX(Apoio!$L$3:$L$81,MATCH($B36,Apoio!$K$3:$K$81,0)),""))</f>
        <v>COMERCIALIZADORA</v>
      </c>
      <c r="D36" s="6" t="s">
        <v>34</v>
      </c>
      <c r="E36" s="10" t="str">
        <f>IF($D36="","",IFERROR(INDEX(Apoio!$C$3:$C$81,MATCH($D36,Apoio!$B$3:$B$81,0)),""))</f>
        <v>TI</v>
      </c>
      <c r="F36" s="10" t="str">
        <f>IF($D36="","",IFERROR(INDEX(Apoio!$D$3:$D$81,MATCH($D36,Apoio!$B$3:$B$81,0)),""))</f>
        <v>Marcelo Bronzatti</v>
      </c>
      <c r="G36" s="10">
        <f>IF($H36="","",IFERROR(_xlfn.XLOOKUP(H36,'De x Para DRE'!C:C,'De x Para DRE'!B:B),""))</f>
        <v>5110100801</v>
      </c>
      <c r="H36" s="6" t="s">
        <v>466</v>
      </c>
      <c r="I36" s="10" t="str">
        <f>IF($G36="","",IFERROR(INDEX('De x Para DRE'!$E$3:$E$210,MATCH($G36,'De x Para DRE'!$B$3:$B$210,0)),""))</f>
        <v>3.1 G&amp;A</v>
      </c>
      <c r="J36" s="6" t="s">
        <v>613</v>
      </c>
      <c r="K36" s="9">
        <v>429.13125000000008</v>
      </c>
      <c r="L36" s="9">
        <v>429.13125000000008</v>
      </c>
      <c r="M36" s="9">
        <v>429.13125000000008</v>
      </c>
      <c r="N36" s="9">
        <v>429.13125000000008</v>
      </c>
      <c r="O36" s="9">
        <v>429.13125000000008</v>
      </c>
      <c r="P36" s="9">
        <v>429.13125000000008</v>
      </c>
      <c r="Q36" s="9">
        <v>429.13125000000008</v>
      </c>
      <c r="R36" s="9">
        <v>429.13125000000008</v>
      </c>
      <c r="S36" s="9">
        <v>429.13125000000008</v>
      </c>
      <c r="T36" s="9">
        <v>429.13125000000008</v>
      </c>
      <c r="U36" s="9">
        <v>429.13125000000008</v>
      </c>
      <c r="V36" s="9">
        <v>429.13125000000008</v>
      </c>
      <c r="W36" s="8">
        <f t="shared" si="1"/>
        <v>5149.5750000000007</v>
      </c>
      <c r="X36" s="9">
        <v>0</v>
      </c>
      <c r="Y36" s="9">
        <f>200+805.08</f>
        <v>1005.08</v>
      </c>
      <c r="Z36" s="9">
        <v>660.38</v>
      </c>
      <c r="AA36" s="9">
        <v>686.37</v>
      </c>
      <c r="AB36" s="9">
        <v>227.12</v>
      </c>
      <c r="AC36" s="9">
        <v>202.39</v>
      </c>
      <c r="AD36" s="9"/>
      <c r="AE36" s="9">
        <v>43.99</v>
      </c>
      <c r="AF36" s="9">
        <v>0</v>
      </c>
      <c r="AG36" s="9">
        <v>0</v>
      </c>
      <c r="AH36" s="9">
        <v>0</v>
      </c>
      <c r="AI36" s="9">
        <v>0</v>
      </c>
      <c r="AJ36" s="8">
        <f t="shared" si="2"/>
        <v>2825.3299999999995</v>
      </c>
      <c r="AK36" s="8">
        <f t="shared" si="3"/>
        <v>2825.3299999999995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8">
        <f t="shared" si="5"/>
        <v>0</v>
      </c>
      <c r="AY36" s="7">
        <f t="shared" si="6"/>
        <v>-5149.5750000000007</v>
      </c>
      <c r="AZ36" s="7">
        <f t="shared" si="9"/>
        <v>-2825.3299999999995</v>
      </c>
      <c r="BA36" s="46"/>
      <c r="BB36" s="5" t="s">
        <v>575</v>
      </c>
    </row>
    <row r="37" spans="1:54">
      <c r="A37" s="11">
        <f t="shared" si="0"/>
        <v>30</v>
      </c>
      <c r="B37" s="6" t="s">
        <v>13</v>
      </c>
      <c r="C37" s="10" t="str">
        <f>IF($B37="","",IFERROR(INDEX(Apoio!$L$3:$L$81,MATCH($B37,Apoio!$K$3:$K$81,0)),""))</f>
        <v>COMERCIALIZADORA</v>
      </c>
      <c r="D37" s="6" t="s">
        <v>34</v>
      </c>
      <c r="E37" s="10" t="str">
        <f>IF($D37="","",IFERROR(INDEX(Apoio!$C$3:$C$81,MATCH($D37,Apoio!$B$3:$B$81,0)),""))</f>
        <v>TI</v>
      </c>
      <c r="F37" s="10" t="str">
        <f>IF($D37="","",IFERROR(INDEX(Apoio!$D$3:$D$81,MATCH($D37,Apoio!$B$3:$B$81,0)),""))</f>
        <v>Marcelo Bronzatti</v>
      </c>
      <c r="G37" s="10">
        <f>IF($H37="","",IFERROR(_xlfn.XLOOKUP(H37,'De x Para DRE'!C:C,'De x Para DRE'!B:B),""))</f>
        <v>5110100707</v>
      </c>
      <c r="H37" s="6" t="s">
        <v>465</v>
      </c>
      <c r="I37" s="10" t="str">
        <f>IF($G37="","",IFERROR(INDEX('De x Para DRE'!$E$3:$E$210,MATCH($G37,'De x Para DRE'!$B$3:$B$210,0)),""))</f>
        <v>3.1 G&amp;A</v>
      </c>
      <c r="J37" s="6" t="s">
        <v>614</v>
      </c>
      <c r="K37" s="9">
        <v>31010.85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8">
        <f t="shared" si="1"/>
        <v>31010.85</v>
      </c>
      <c r="X37" s="9"/>
      <c r="Y37" s="9">
        <v>21336.05</v>
      </c>
      <c r="Z37" s="9">
        <v>9674.7900000000009</v>
      </c>
      <c r="AA37" s="9"/>
      <c r="AB37" s="9"/>
      <c r="AC37" s="9"/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8">
        <f t="shared" si="2"/>
        <v>31010.84</v>
      </c>
      <c r="AK37" s="8">
        <f t="shared" si="3"/>
        <v>31010.84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8">
        <f t="shared" si="5"/>
        <v>0</v>
      </c>
      <c r="AY37" s="7">
        <f t="shared" si="6"/>
        <v>-31010.85</v>
      </c>
      <c r="AZ37" s="7">
        <f t="shared" si="9"/>
        <v>-31010.84</v>
      </c>
      <c r="BA37" s="46"/>
      <c r="BB37" s="5" t="s">
        <v>575</v>
      </c>
    </row>
    <row r="38" spans="1:54">
      <c r="A38" s="11">
        <f t="shared" si="0"/>
        <v>31</v>
      </c>
      <c r="B38" s="6" t="s">
        <v>13</v>
      </c>
      <c r="C38" s="10" t="str">
        <f>IF($B38="","",IFERROR(INDEX(Apoio!$L$3:$L$81,MATCH($B38,Apoio!$K$3:$K$81,0)),""))</f>
        <v>COMERCIALIZADORA</v>
      </c>
      <c r="D38" s="6" t="s">
        <v>34</v>
      </c>
      <c r="E38" s="10" t="str">
        <f>IF($D38="","",IFERROR(INDEX(Apoio!$C$3:$C$81,MATCH($D38,Apoio!$B$3:$B$81,0)),""))</f>
        <v>TI</v>
      </c>
      <c r="F38" s="10" t="str">
        <f>IF($D38="","",IFERROR(INDEX(Apoio!$D$3:$D$81,MATCH($D38,Apoio!$B$3:$B$81,0)),""))</f>
        <v>Marcelo Bronzatti</v>
      </c>
      <c r="G38" s="10">
        <f>IF($H38="","",IFERROR(_xlfn.XLOOKUP(H38,'De x Para DRE'!C:C,'De x Para DRE'!B:B),""))</f>
        <v>5110100707</v>
      </c>
      <c r="H38" s="6" t="s">
        <v>465</v>
      </c>
      <c r="I38" s="10" t="str">
        <f>IF($G38="","",IFERROR(INDEX('De x Para DRE'!$E$3:$E$210,MATCH($G38,'De x Para DRE'!$B$3:$B$210,0)),""))</f>
        <v>3.1 G&amp;A</v>
      </c>
      <c r="J38" s="6" t="s">
        <v>615</v>
      </c>
      <c r="K38" s="9"/>
      <c r="L38" s="9"/>
      <c r="M38" s="9"/>
      <c r="N38" s="9"/>
      <c r="O38" s="9"/>
      <c r="P38" s="9"/>
      <c r="Q38" s="9"/>
      <c r="R38" s="9"/>
      <c r="S38" s="9"/>
      <c r="T38" s="9">
        <v>13000</v>
      </c>
      <c r="U38" s="9"/>
      <c r="V38" s="9"/>
      <c r="W38" s="8">
        <f t="shared" si="1"/>
        <v>13000</v>
      </c>
      <c r="X38" s="9"/>
      <c r="Y38" s="9"/>
      <c r="Z38" s="9"/>
      <c r="AA38" s="9"/>
      <c r="AB38" s="9"/>
      <c r="AC38" s="9"/>
      <c r="AD38" s="9">
        <v>0</v>
      </c>
      <c r="AE38" s="9">
        <v>0</v>
      </c>
      <c r="AF38" s="9">
        <v>0</v>
      </c>
      <c r="AG38" s="9">
        <v>13000</v>
      </c>
      <c r="AH38" s="9">
        <v>0</v>
      </c>
      <c r="AI38" s="9">
        <v>0</v>
      </c>
      <c r="AJ38" s="8">
        <f t="shared" si="2"/>
        <v>0</v>
      </c>
      <c r="AK38" s="8">
        <f t="shared" si="3"/>
        <v>13000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8">
        <f t="shared" si="5"/>
        <v>0</v>
      </c>
      <c r="AY38" s="7">
        <f t="shared" si="6"/>
        <v>-13000</v>
      </c>
      <c r="AZ38" s="7">
        <f t="shared" si="9"/>
        <v>-13000</v>
      </c>
      <c r="BA38" s="46"/>
      <c r="BB38" s="5" t="s">
        <v>575</v>
      </c>
    </row>
    <row r="39" spans="1:54">
      <c r="A39" s="11">
        <f t="shared" si="0"/>
        <v>32</v>
      </c>
      <c r="B39" s="6" t="s">
        <v>13</v>
      </c>
      <c r="C39" s="10" t="str">
        <f>IF($B39="","",IFERROR(INDEX(Apoio!$L$3:$L$81,MATCH($B39,Apoio!$K$3:$K$81,0)),""))</f>
        <v>COMERCIALIZADORA</v>
      </c>
      <c r="D39" s="6" t="s">
        <v>34</v>
      </c>
      <c r="E39" s="10" t="str">
        <f>IF($D39="","",IFERROR(INDEX(Apoio!$C$3:$C$81,MATCH($D39,Apoio!$B$3:$B$81,0)),""))</f>
        <v>TI</v>
      </c>
      <c r="F39" s="10" t="str">
        <f>IF($D39="","",IFERROR(INDEX(Apoio!$D$3:$D$81,MATCH($D39,Apoio!$B$3:$B$81,0)),""))</f>
        <v>Marcelo Bronzatti</v>
      </c>
      <c r="G39" s="10">
        <f>IF($H39="","",IFERROR(_xlfn.XLOOKUP(H39,'De x Para DRE'!C:C,'De x Para DRE'!B:B),""))</f>
        <v>5110100702</v>
      </c>
      <c r="H39" s="6" t="s">
        <v>460</v>
      </c>
      <c r="I39" s="10" t="str">
        <f>IF($G39="","",IFERROR(INDEX('De x Para DRE'!$E$3:$E$210,MATCH($G39,'De x Para DRE'!$B$3:$B$210,0)),""))</f>
        <v>3.1 G&amp;A</v>
      </c>
      <c r="J39" s="6" t="s">
        <v>616</v>
      </c>
      <c r="K39" s="9">
        <v>1500</v>
      </c>
      <c r="L39" s="9">
        <v>1500</v>
      </c>
      <c r="M39" s="9">
        <v>1500</v>
      </c>
      <c r="N39" s="9">
        <v>1500</v>
      </c>
      <c r="O39" s="9">
        <v>1500</v>
      </c>
      <c r="P39" s="9">
        <v>1500</v>
      </c>
      <c r="Q39" s="9">
        <v>1500</v>
      </c>
      <c r="R39" s="9">
        <v>1500</v>
      </c>
      <c r="S39" s="9">
        <v>1500</v>
      </c>
      <c r="T39" s="9">
        <v>1500</v>
      </c>
      <c r="U39" s="9">
        <v>1500</v>
      </c>
      <c r="V39" s="9">
        <v>1500</v>
      </c>
      <c r="W39" s="8">
        <f t="shared" si="1"/>
        <v>18000</v>
      </c>
      <c r="X39" s="9">
        <v>1250.92</v>
      </c>
      <c r="Y39" s="9">
        <v>1368.57</v>
      </c>
      <c r="Z39" s="9">
        <v>1332.5</v>
      </c>
      <c r="AA39" s="9">
        <v>1332.56</v>
      </c>
      <c r="AB39" s="9">
        <v>1308.55</v>
      </c>
      <c r="AC39" s="9">
        <v>1247.21</v>
      </c>
      <c r="AD39" s="9">
        <v>1247.21</v>
      </c>
      <c r="AE39" s="9">
        <v>1247.21</v>
      </c>
      <c r="AF39" s="9">
        <v>1500</v>
      </c>
      <c r="AG39" s="9">
        <v>1500</v>
      </c>
      <c r="AH39" s="9">
        <v>1500</v>
      </c>
      <c r="AI39" s="9">
        <v>1500</v>
      </c>
      <c r="AJ39" s="8">
        <f t="shared" si="2"/>
        <v>10334.73</v>
      </c>
      <c r="AK39" s="8">
        <f t="shared" si="3"/>
        <v>16334.73</v>
      </c>
      <c r="AL39" s="9">
        <v>2000</v>
      </c>
      <c r="AM39" s="9">
        <v>2000</v>
      </c>
      <c r="AN39" s="9">
        <v>2000</v>
      </c>
      <c r="AO39" s="9">
        <v>2000</v>
      </c>
      <c r="AP39" s="9">
        <v>2000</v>
      </c>
      <c r="AQ39" s="9">
        <v>2000</v>
      </c>
      <c r="AR39" s="9">
        <v>2000</v>
      </c>
      <c r="AS39" s="9">
        <v>2000</v>
      </c>
      <c r="AT39" s="9">
        <v>2000</v>
      </c>
      <c r="AU39" s="9">
        <v>2000</v>
      </c>
      <c r="AV39" s="9">
        <v>2000</v>
      </c>
      <c r="AW39" s="9">
        <v>2000</v>
      </c>
      <c r="AX39" s="8">
        <f t="shared" si="5"/>
        <v>24000</v>
      </c>
      <c r="AY39" s="7">
        <f t="shared" si="6"/>
        <v>6000</v>
      </c>
      <c r="AZ39" s="7">
        <f t="shared" si="9"/>
        <v>7665.27</v>
      </c>
      <c r="BA39" s="46" t="s">
        <v>617</v>
      </c>
      <c r="BB39" s="5" t="s">
        <v>575</v>
      </c>
    </row>
    <row r="40" spans="1:54">
      <c r="A40" s="11">
        <f t="shared" ref="A40:A56" si="10">IF(OR($B40="",$D40="",$G40=""),"",ROW()-7)</f>
        <v>33</v>
      </c>
      <c r="B40" s="6" t="s">
        <v>13</v>
      </c>
      <c r="C40" s="10" t="str">
        <f>IF($B40="","",IFERROR(INDEX(Apoio!$L$3:$L$81,MATCH($B40,Apoio!$K$3:$K$81,0)),""))</f>
        <v>COMERCIALIZADORA</v>
      </c>
      <c r="D40" s="6" t="s">
        <v>34</v>
      </c>
      <c r="E40" s="10" t="str">
        <f>IF($D40="","",IFERROR(INDEX(Apoio!$C$3:$C$81,MATCH($D40,Apoio!$B$3:$B$81,0)),""))</f>
        <v>TI</v>
      </c>
      <c r="F40" s="10" t="str">
        <f>IF($D40="","",IFERROR(INDEX(Apoio!$D$3:$D$81,MATCH($D40,Apoio!$B$3:$B$81,0)),""))</f>
        <v>Marcelo Bronzatti</v>
      </c>
      <c r="G40" s="10">
        <f>IF($H40="","",IFERROR(_xlfn.XLOOKUP(H40,'De x Para DRE'!C:C,'De x Para DRE'!B:B),""))</f>
        <v>5110100702</v>
      </c>
      <c r="H40" s="6" t="s">
        <v>460</v>
      </c>
      <c r="I40" s="10" t="str">
        <f>IF($G40="","",IFERROR(INDEX('De x Para DRE'!$E$3:$E$210,MATCH($G40,'De x Para DRE'!$B$3:$B$210,0)),""))</f>
        <v>3.1 G&amp;A</v>
      </c>
      <c r="J40" s="6" t="s">
        <v>618</v>
      </c>
      <c r="K40" s="9">
        <v>750</v>
      </c>
      <c r="L40" s="9">
        <v>750</v>
      </c>
      <c r="M40" s="9">
        <v>750</v>
      </c>
      <c r="N40" s="9">
        <v>750</v>
      </c>
      <c r="O40" s="9">
        <v>750</v>
      </c>
      <c r="P40" s="9">
        <v>750</v>
      </c>
      <c r="Q40" s="9">
        <v>750</v>
      </c>
      <c r="R40" s="9">
        <v>750</v>
      </c>
      <c r="S40" s="9">
        <v>750</v>
      </c>
      <c r="T40" s="9">
        <v>750</v>
      </c>
      <c r="U40" s="9">
        <v>750</v>
      </c>
      <c r="V40" s="9">
        <v>750</v>
      </c>
      <c r="W40" s="8">
        <f t="shared" ref="W40:W56" si="11">SUM(K40:V40)</f>
        <v>9000</v>
      </c>
      <c r="X40" s="9">
        <v>657.3</v>
      </c>
      <c r="Y40" s="9">
        <v>672.89</v>
      </c>
      <c r="Z40" s="9">
        <v>693.75</v>
      </c>
      <c r="AA40" s="9">
        <v>840.7</v>
      </c>
      <c r="AB40" s="9">
        <v>717.61</v>
      </c>
      <c r="AC40" s="9">
        <v>593.34</v>
      </c>
      <c r="AD40" s="9">
        <v>750</v>
      </c>
      <c r="AE40" s="9">
        <v>750</v>
      </c>
      <c r="AF40" s="9">
        <v>750</v>
      </c>
      <c r="AG40" s="9">
        <v>750</v>
      </c>
      <c r="AH40" s="9">
        <v>750</v>
      </c>
      <c r="AI40" s="9">
        <v>750</v>
      </c>
      <c r="AJ40" s="8">
        <f t="shared" ref="AJ40:AJ56" si="12">SUM(X40:AE40)</f>
        <v>5675.59</v>
      </c>
      <c r="AK40" s="8">
        <f t="shared" ref="AK40:AK56" si="13">SUM(X40:AI40)</f>
        <v>8675.59</v>
      </c>
      <c r="AL40" s="9">
        <v>1000</v>
      </c>
      <c r="AM40" s="9">
        <v>1000</v>
      </c>
      <c r="AN40" s="9">
        <v>1000</v>
      </c>
      <c r="AO40" s="9">
        <v>1000</v>
      </c>
      <c r="AP40" s="9">
        <v>1000</v>
      </c>
      <c r="AQ40" s="9">
        <v>1000</v>
      </c>
      <c r="AR40" s="9">
        <v>1000</v>
      </c>
      <c r="AS40" s="9">
        <v>1000</v>
      </c>
      <c r="AT40" s="9">
        <v>1000</v>
      </c>
      <c r="AU40" s="9">
        <v>1000</v>
      </c>
      <c r="AV40" s="9">
        <v>1000</v>
      </c>
      <c r="AW40" s="9">
        <v>1000</v>
      </c>
      <c r="AX40" s="8">
        <f t="shared" si="5"/>
        <v>12000</v>
      </c>
      <c r="AY40" s="7">
        <f t="shared" si="6"/>
        <v>3000</v>
      </c>
      <c r="AZ40" s="7">
        <f t="shared" si="9"/>
        <v>3324.41</v>
      </c>
      <c r="BA40" s="46"/>
      <c r="BB40" s="5" t="s">
        <v>575</v>
      </c>
    </row>
    <row r="41" spans="1:54">
      <c r="A41" s="11">
        <f t="shared" si="10"/>
        <v>34</v>
      </c>
      <c r="B41" s="6" t="s">
        <v>13</v>
      </c>
      <c r="C41" s="10" t="str">
        <f>IF($B41="","",IFERROR(INDEX(Apoio!$L$3:$L$81,MATCH($B41,Apoio!$K$3:$K$81,0)),""))</f>
        <v>COMERCIALIZADORA</v>
      </c>
      <c r="D41" s="6" t="s">
        <v>34</v>
      </c>
      <c r="E41" s="10" t="str">
        <f>IF($D41="","",IFERROR(INDEX(Apoio!$C$3:$C$81,MATCH($D41,Apoio!$B$3:$B$81,0)),""))</f>
        <v>TI</v>
      </c>
      <c r="F41" s="10" t="str">
        <f>IF($D41="","",IFERROR(INDEX(Apoio!$D$3:$D$81,MATCH($D41,Apoio!$B$3:$B$81,0)),""))</f>
        <v>Marcelo Bronzatti</v>
      </c>
      <c r="G41" s="10">
        <f>IF($H41="","",IFERROR(_xlfn.XLOOKUP(H41,'De x Para DRE'!C:C,'De x Para DRE'!B:B),""))</f>
        <v>5110100702</v>
      </c>
      <c r="H41" s="6" t="s">
        <v>460</v>
      </c>
      <c r="I41" s="10" t="str">
        <f>IF($G41="","",IFERROR(INDEX('De x Para DRE'!$E$3:$E$210,MATCH($G41,'De x Para DRE'!$B$3:$B$210,0)),""))</f>
        <v>3.1 G&amp;A</v>
      </c>
      <c r="J41" s="6" t="s">
        <v>619</v>
      </c>
      <c r="K41" s="9">
        <v>747</v>
      </c>
      <c r="L41" s="9">
        <v>747</v>
      </c>
      <c r="M41" s="9">
        <v>747</v>
      </c>
      <c r="N41" s="9">
        <v>747</v>
      </c>
      <c r="O41" s="9">
        <v>747</v>
      </c>
      <c r="P41" s="9">
        <v>800</v>
      </c>
      <c r="Q41" s="9">
        <v>800</v>
      </c>
      <c r="R41" s="9">
        <v>800</v>
      </c>
      <c r="S41" s="9">
        <v>800</v>
      </c>
      <c r="T41" s="9">
        <v>800</v>
      </c>
      <c r="U41" s="9">
        <v>800</v>
      </c>
      <c r="V41" s="9">
        <v>800</v>
      </c>
      <c r="W41" s="8">
        <f t="shared" si="11"/>
        <v>9335</v>
      </c>
      <c r="X41" s="9">
        <v>747</v>
      </c>
      <c r="Y41" s="9">
        <v>747</v>
      </c>
      <c r="Z41" s="9">
        <v>747</v>
      </c>
      <c r="AA41" s="9">
        <v>380</v>
      </c>
      <c r="AB41" s="9">
        <v>747</v>
      </c>
      <c r="AC41" s="9">
        <v>747</v>
      </c>
      <c r="AD41" s="9">
        <v>747</v>
      </c>
      <c r="AE41" s="9">
        <v>747</v>
      </c>
      <c r="AF41" s="9">
        <v>800</v>
      </c>
      <c r="AG41" s="9">
        <v>800</v>
      </c>
      <c r="AH41" s="9">
        <v>800</v>
      </c>
      <c r="AI41" s="9">
        <v>800</v>
      </c>
      <c r="AJ41" s="8">
        <f t="shared" si="12"/>
        <v>5609</v>
      </c>
      <c r="AK41" s="8">
        <f t="shared" si="13"/>
        <v>8809</v>
      </c>
      <c r="AL41" s="9">
        <f>430*2</f>
        <v>860</v>
      </c>
      <c r="AM41" s="9">
        <f t="shared" ref="AM41:AW41" si="14">430*2</f>
        <v>860</v>
      </c>
      <c r="AN41" s="9">
        <f t="shared" si="14"/>
        <v>860</v>
      </c>
      <c r="AO41" s="9">
        <f t="shared" si="14"/>
        <v>860</v>
      </c>
      <c r="AP41" s="9">
        <f t="shared" si="14"/>
        <v>860</v>
      </c>
      <c r="AQ41" s="9">
        <f t="shared" si="14"/>
        <v>860</v>
      </c>
      <c r="AR41" s="9">
        <f t="shared" si="14"/>
        <v>860</v>
      </c>
      <c r="AS41" s="9">
        <f t="shared" si="14"/>
        <v>860</v>
      </c>
      <c r="AT41" s="9">
        <f t="shared" si="14"/>
        <v>860</v>
      </c>
      <c r="AU41" s="9">
        <f t="shared" si="14"/>
        <v>860</v>
      </c>
      <c r="AV41" s="9">
        <f t="shared" si="14"/>
        <v>860</v>
      </c>
      <c r="AW41" s="9">
        <f t="shared" si="14"/>
        <v>860</v>
      </c>
      <c r="AX41" s="8">
        <f t="shared" si="5"/>
        <v>10320</v>
      </c>
      <c r="AY41" s="7">
        <f t="shared" si="6"/>
        <v>985</v>
      </c>
      <c r="AZ41" s="7">
        <f t="shared" si="9"/>
        <v>1511</v>
      </c>
      <c r="BA41" s="46"/>
      <c r="BB41" s="5" t="s">
        <v>575</v>
      </c>
    </row>
    <row r="42" spans="1:54">
      <c r="A42" s="11">
        <f t="shared" si="10"/>
        <v>35</v>
      </c>
      <c r="B42" s="6" t="s">
        <v>13</v>
      </c>
      <c r="C42" s="10" t="str">
        <f>IF($B42="","",IFERROR(INDEX(Apoio!$L$3:$L$81,MATCH($B42,Apoio!$K$3:$K$81,0)),""))</f>
        <v>COMERCIALIZADORA</v>
      </c>
      <c r="D42" s="6" t="s">
        <v>34</v>
      </c>
      <c r="E42" s="10" t="str">
        <f>IF($D42="","",IFERROR(INDEX(Apoio!$C$3:$C$81,MATCH($D42,Apoio!$B$3:$B$81,0)),""))</f>
        <v>TI</v>
      </c>
      <c r="F42" s="10" t="str">
        <f>IF($D42="","",IFERROR(INDEX(Apoio!$D$3:$D$81,MATCH($D42,Apoio!$B$3:$B$81,0)),""))</f>
        <v>Marcelo Bronzatti</v>
      </c>
      <c r="G42" s="10">
        <f>IF($H42="","",IFERROR(_xlfn.XLOOKUP(H42,'De x Para DRE'!C:C,'De x Para DRE'!B:B),""))</f>
        <v>5110100702</v>
      </c>
      <c r="H42" s="6" t="s">
        <v>460</v>
      </c>
      <c r="I42" s="10" t="str">
        <f>IF($G42="","",IFERROR(INDEX('De x Para DRE'!$E$3:$E$210,MATCH($G42,'De x Para DRE'!$B$3:$B$210,0)),""))</f>
        <v>3.1 G&amp;A</v>
      </c>
      <c r="J42" s="6" t="s">
        <v>620</v>
      </c>
      <c r="K42" s="9">
        <v>105.63</v>
      </c>
      <c r="L42" s="9">
        <v>105.63</v>
      </c>
      <c r="M42" s="9">
        <v>105.63</v>
      </c>
      <c r="N42" s="9">
        <v>105.63</v>
      </c>
      <c r="O42" s="9">
        <v>105.63</v>
      </c>
      <c r="P42" s="9">
        <v>105.63</v>
      </c>
      <c r="Q42" s="9">
        <v>105.63</v>
      </c>
      <c r="R42" s="9">
        <v>105.63</v>
      </c>
      <c r="S42" s="9">
        <v>105.63</v>
      </c>
      <c r="T42" s="9">
        <v>105.63</v>
      </c>
      <c r="U42" s="9">
        <v>105.63</v>
      </c>
      <c r="V42" s="9">
        <v>105.63</v>
      </c>
      <c r="W42" s="8">
        <f t="shared" si="11"/>
        <v>1267.56</v>
      </c>
      <c r="X42" s="9"/>
      <c r="Y42" s="9"/>
      <c r="Z42" s="9"/>
      <c r="AA42" s="9">
        <v>118.62</v>
      </c>
      <c r="AB42" s="9">
        <v>116.85</v>
      </c>
      <c r="AC42" s="9">
        <v>116.15</v>
      </c>
      <c r="AD42" s="9">
        <v>105.63</v>
      </c>
      <c r="AE42" s="9">
        <v>105.63</v>
      </c>
      <c r="AF42" s="9">
        <v>105.63</v>
      </c>
      <c r="AG42" s="9">
        <v>105.63</v>
      </c>
      <c r="AH42" s="9">
        <v>105.63</v>
      </c>
      <c r="AI42" s="9">
        <v>105.63</v>
      </c>
      <c r="AJ42" s="8">
        <f t="shared" si="12"/>
        <v>562.88</v>
      </c>
      <c r="AK42" s="8">
        <f t="shared" si="13"/>
        <v>985.4</v>
      </c>
      <c r="AL42" s="9">
        <v>1000</v>
      </c>
      <c r="AM42" s="9">
        <v>1000</v>
      </c>
      <c r="AN42" s="9">
        <v>1000</v>
      </c>
      <c r="AO42" s="9">
        <v>1000</v>
      </c>
      <c r="AP42" s="9">
        <v>1000</v>
      </c>
      <c r="AQ42" s="9">
        <v>1000</v>
      </c>
      <c r="AR42" s="9">
        <v>1000</v>
      </c>
      <c r="AS42" s="9">
        <v>1000</v>
      </c>
      <c r="AT42" s="9">
        <v>1000</v>
      </c>
      <c r="AU42" s="9">
        <v>1000</v>
      </c>
      <c r="AV42" s="9">
        <v>1000</v>
      </c>
      <c r="AW42" s="9">
        <v>1000</v>
      </c>
      <c r="AX42" s="8">
        <f t="shared" si="5"/>
        <v>12000</v>
      </c>
      <c r="AY42" s="7">
        <f t="shared" si="6"/>
        <v>10732.44</v>
      </c>
      <c r="AZ42" s="7">
        <f t="shared" si="9"/>
        <v>11014.6</v>
      </c>
      <c r="BA42" s="46"/>
      <c r="BB42" s="5" t="s">
        <v>575</v>
      </c>
    </row>
    <row r="43" spans="1:54">
      <c r="A43" s="11">
        <f t="shared" si="10"/>
        <v>36</v>
      </c>
      <c r="B43" s="6" t="s">
        <v>13</v>
      </c>
      <c r="C43" s="10" t="str">
        <f>IF($B43="","",IFERROR(INDEX(Apoio!$L$3:$L$81,MATCH($B43,Apoio!$K$3:$K$81,0)),""))</f>
        <v>COMERCIALIZADORA</v>
      </c>
      <c r="D43" s="6" t="s">
        <v>34</v>
      </c>
      <c r="E43" s="10" t="str">
        <f>IF($D43="","",IFERROR(INDEX(Apoio!$C$3:$C$81,MATCH($D43,Apoio!$B$3:$B$81,0)),""))</f>
        <v>TI</v>
      </c>
      <c r="F43" s="10" t="str">
        <f>IF($D43="","",IFERROR(INDEX(Apoio!$D$3:$D$81,MATCH($D43,Apoio!$B$3:$B$81,0)),""))</f>
        <v>Marcelo Bronzatti</v>
      </c>
      <c r="G43" s="10">
        <f>IF($H43="","",IFERROR(_xlfn.XLOOKUP(H43,'De x Para DRE'!C:C,'De x Para DRE'!B:B),""))</f>
        <v>5110100707</v>
      </c>
      <c r="H43" s="6" t="s">
        <v>465</v>
      </c>
      <c r="I43" s="10" t="str">
        <f>IF($G43="","",IFERROR(INDEX('De x Para DRE'!$E$3:$E$210,MATCH($G43,'De x Para DRE'!$B$3:$B$210,0)),""))</f>
        <v>3.1 G&amp;A</v>
      </c>
      <c r="J43" s="6" t="s">
        <v>621</v>
      </c>
      <c r="K43" s="9"/>
      <c r="L43" s="9">
        <v>1500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8">
        <f t="shared" si="11"/>
        <v>1500</v>
      </c>
      <c r="X43" s="9"/>
      <c r="Y43" s="9"/>
      <c r="Z43" s="9"/>
      <c r="AA43" s="9"/>
      <c r="AB43" s="9"/>
      <c r="AC43" s="9"/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8">
        <f t="shared" si="12"/>
        <v>0</v>
      </c>
      <c r="AK43" s="8">
        <f t="shared" si="13"/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8">
        <f t="shared" si="5"/>
        <v>0</v>
      </c>
      <c r="AY43" s="7">
        <f t="shared" si="6"/>
        <v>-1500</v>
      </c>
      <c r="AZ43" s="7">
        <f t="shared" si="9"/>
        <v>0</v>
      </c>
      <c r="BA43" s="46"/>
      <c r="BB43" s="5" t="s">
        <v>575</v>
      </c>
    </row>
    <row r="44" spans="1:54">
      <c r="A44" s="11">
        <f t="shared" si="10"/>
        <v>37</v>
      </c>
      <c r="B44" s="6" t="s">
        <v>13</v>
      </c>
      <c r="C44" s="10" t="str">
        <f>IF($B44="","",IFERROR(INDEX(Apoio!$L$3:$L$81,MATCH($B44,Apoio!$K$3:$K$81,0)),""))</f>
        <v>COMERCIALIZADORA</v>
      </c>
      <c r="D44" s="6" t="s">
        <v>34</v>
      </c>
      <c r="E44" s="10" t="str">
        <f>IF($D44="","",IFERROR(INDEX(Apoio!$C$3:$C$81,MATCH($D44,Apoio!$B$3:$B$81,0)),""))</f>
        <v>TI</v>
      </c>
      <c r="F44" s="10" t="str">
        <f>IF($D44="","",IFERROR(INDEX(Apoio!$D$3:$D$81,MATCH($D44,Apoio!$B$3:$B$81,0)),""))</f>
        <v>Marcelo Bronzatti</v>
      </c>
      <c r="G44" s="10">
        <f>IF($H44="","",IFERROR(_xlfn.XLOOKUP(H44,'De x Para DRE'!C:C,'De x Para DRE'!B:B),""))</f>
        <v>5110100201</v>
      </c>
      <c r="H44" s="6" t="s">
        <v>420</v>
      </c>
      <c r="I44" s="10" t="str">
        <f>IF($G44="","",IFERROR(INDEX('De x Para DRE'!$E$3:$E$210,MATCH($G44,'De x Para DRE'!$B$3:$B$210,0)),""))</f>
        <v>3.1 G&amp;A</v>
      </c>
      <c r="J44" s="6" t="s">
        <v>622</v>
      </c>
      <c r="K44" s="9">
        <v>333.33333333333331</v>
      </c>
      <c r="L44" s="9">
        <v>333.33333333333331</v>
      </c>
      <c r="M44" s="9">
        <v>333.33333333333331</v>
      </c>
      <c r="N44" s="9">
        <v>333.33333333333331</v>
      </c>
      <c r="O44" s="9">
        <v>333.33333333333331</v>
      </c>
      <c r="P44" s="9">
        <v>333.33333333333331</v>
      </c>
      <c r="Q44" s="9">
        <v>333.33333333333331</v>
      </c>
      <c r="R44" s="9">
        <v>333.33333333333331</v>
      </c>
      <c r="S44" s="9">
        <v>333.33333333333331</v>
      </c>
      <c r="T44" s="9">
        <v>333.33333333333331</v>
      </c>
      <c r="U44" s="9">
        <v>333.33333333333331</v>
      </c>
      <c r="V44" s="9">
        <v>333.33333333333331</v>
      </c>
      <c r="W44" s="8">
        <f t="shared" si="11"/>
        <v>4000.0000000000005</v>
      </c>
      <c r="X44" s="9">
        <v>500</v>
      </c>
      <c r="Y44" s="9">
        <f>1059.6+400+819.5</f>
        <v>2279.1</v>
      </c>
      <c r="Z44" s="9">
        <v>957.2</v>
      </c>
      <c r="AA44" s="9"/>
      <c r="AB44" s="9"/>
      <c r="AC44" s="9">
        <v>233.92</v>
      </c>
      <c r="AD44" s="9">
        <v>0</v>
      </c>
      <c r="AE44" s="9">
        <v>233.92</v>
      </c>
      <c r="AF44" s="9">
        <v>333.33333333333331</v>
      </c>
      <c r="AG44" s="9">
        <v>333.33333333333331</v>
      </c>
      <c r="AH44" s="9">
        <v>333.33333333333331</v>
      </c>
      <c r="AI44" s="9">
        <v>333.33333333333331</v>
      </c>
      <c r="AJ44" s="8">
        <f t="shared" si="12"/>
        <v>4204.1400000000003</v>
      </c>
      <c r="AK44" s="8">
        <f t="shared" si="13"/>
        <v>5537.4733333333324</v>
      </c>
      <c r="AL44" s="9">
        <v>800</v>
      </c>
      <c r="AM44" s="9">
        <v>800</v>
      </c>
      <c r="AN44" s="9">
        <v>800</v>
      </c>
      <c r="AO44" s="9">
        <v>800</v>
      </c>
      <c r="AP44" s="9">
        <v>800</v>
      </c>
      <c r="AQ44" s="9">
        <v>800</v>
      </c>
      <c r="AR44" s="9">
        <v>800</v>
      </c>
      <c r="AS44" s="9">
        <v>800</v>
      </c>
      <c r="AT44" s="9">
        <v>800</v>
      </c>
      <c r="AU44" s="9">
        <v>800</v>
      </c>
      <c r="AV44" s="9">
        <v>800</v>
      </c>
      <c r="AW44" s="9">
        <v>800</v>
      </c>
      <c r="AX44" s="8">
        <f t="shared" si="5"/>
        <v>9600</v>
      </c>
      <c r="AY44" s="7">
        <f t="shared" si="6"/>
        <v>5600</v>
      </c>
      <c r="AZ44" s="7">
        <f t="shared" si="9"/>
        <v>4062.5266666666676</v>
      </c>
      <c r="BA44" s="46"/>
      <c r="BB44" s="5" t="s">
        <v>575</v>
      </c>
    </row>
    <row r="45" spans="1:54">
      <c r="A45" s="11">
        <f t="shared" si="10"/>
        <v>38</v>
      </c>
      <c r="B45" s="6" t="s">
        <v>13</v>
      </c>
      <c r="C45" s="10" t="str">
        <f>IF($B45="","",IFERROR(INDEX(Apoio!$L$3:$L$81,MATCH($B45,Apoio!$K$3:$K$81,0)),""))</f>
        <v>COMERCIALIZADORA</v>
      </c>
      <c r="D45" s="6" t="s">
        <v>34</v>
      </c>
      <c r="E45" s="10" t="str">
        <f>IF($D45="","",IFERROR(INDEX(Apoio!$C$3:$C$81,MATCH($D45,Apoio!$B$3:$B$81,0)),""))</f>
        <v>TI</v>
      </c>
      <c r="F45" s="10" t="str">
        <f>IF($D45="","",IFERROR(INDEX(Apoio!$D$3:$D$81,MATCH($D45,Apoio!$B$3:$B$81,0)),""))</f>
        <v>Marcelo Bronzatti</v>
      </c>
      <c r="G45" s="10">
        <f>IF($H45="","",IFERROR(_xlfn.XLOOKUP(H45,'De x Para DRE'!C:C,'De x Para DRE'!B:B),""))</f>
        <v>5110100702</v>
      </c>
      <c r="H45" s="6" t="s">
        <v>460</v>
      </c>
      <c r="I45" s="10" t="str">
        <f>IF($G45="","",IFERROR(INDEX('De x Para DRE'!$E$3:$E$210,MATCH($G45,'De x Para DRE'!$B$3:$B$210,0)),""))</f>
        <v>3.1 G&amp;A</v>
      </c>
      <c r="J45" s="6" t="s">
        <v>623</v>
      </c>
      <c r="K45" s="9"/>
      <c r="L45" s="9">
        <v>700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8">
        <f t="shared" si="11"/>
        <v>700</v>
      </c>
      <c r="X45" s="9"/>
      <c r="Y45" s="9"/>
      <c r="Z45" s="9"/>
      <c r="AA45" s="9"/>
      <c r="AB45" s="9"/>
      <c r="AC45" s="9"/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8">
        <f t="shared" si="12"/>
        <v>0</v>
      </c>
      <c r="AK45" s="8">
        <f t="shared" si="13"/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8">
        <f t="shared" si="5"/>
        <v>0</v>
      </c>
      <c r="AY45" s="7">
        <f t="shared" si="6"/>
        <v>-700</v>
      </c>
      <c r="AZ45" s="7">
        <f t="shared" si="9"/>
        <v>0</v>
      </c>
      <c r="BA45" s="46"/>
      <c r="BB45" s="5" t="s">
        <v>575</v>
      </c>
    </row>
    <row r="46" spans="1:54">
      <c r="A46" s="11">
        <f t="shared" si="10"/>
        <v>39</v>
      </c>
      <c r="B46" s="6" t="s">
        <v>13</v>
      </c>
      <c r="C46" s="10" t="str">
        <f>IF($B46="","",IFERROR(INDEX(Apoio!$L$3:$L$81,MATCH($B46,Apoio!$K$3:$K$81,0)),""))</f>
        <v>COMERCIALIZADORA</v>
      </c>
      <c r="D46" s="6" t="s">
        <v>85</v>
      </c>
      <c r="E46" s="10" t="str">
        <f>IF($D46="","",IFERROR(INDEX(Apoio!$C$3:$C$81,MATCH($D46,Apoio!$B$3:$B$81,0)),""))</f>
        <v>Middle Office</v>
      </c>
      <c r="F46" s="10" t="str">
        <f>IF($D46="","",IFERROR(INDEX(Apoio!$D$3:$D$81,MATCH($D46,Apoio!$B$3:$B$81,0)),""))</f>
        <v>Rafael Lemos</v>
      </c>
      <c r="G46" s="10">
        <f>IF($H46="","",IFERROR(_xlfn.XLOOKUP(H46,'De x Para DRE'!C:C,'De x Para DRE'!B:B),""))</f>
        <v>5110100501</v>
      </c>
      <c r="H46" s="6" t="s">
        <v>442</v>
      </c>
      <c r="I46" s="10" t="str">
        <f>IF($G46="","",IFERROR(INDEX('De x Para DRE'!$E$3:$E$210,MATCH($G46,'De x Para DRE'!$B$3:$B$210,0)),""))</f>
        <v>3.1 G&amp;A</v>
      </c>
      <c r="J46" s="6" t="s">
        <v>624</v>
      </c>
      <c r="K46" s="9">
        <v>5500</v>
      </c>
      <c r="L46" s="9">
        <v>5500</v>
      </c>
      <c r="M46" s="9">
        <v>5500</v>
      </c>
      <c r="N46" s="9">
        <v>5500</v>
      </c>
      <c r="O46" s="9">
        <v>5500</v>
      </c>
      <c r="P46" s="9">
        <v>5500</v>
      </c>
      <c r="Q46" s="9">
        <v>5500</v>
      </c>
      <c r="R46" s="9">
        <v>5500</v>
      </c>
      <c r="S46" s="9">
        <v>5500</v>
      </c>
      <c r="T46" s="9">
        <v>5500</v>
      </c>
      <c r="U46" s="9">
        <v>5500</v>
      </c>
      <c r="V46" s="9">
        <v>5500</v>
      </c>
      <c r="W46" s="8">
        <f t="shared" si="11"/>
        <v>66000</v>
      </c>
      <c r="X46" s="9">
        <v>5000</v>
      </c>
      <c r="Y46" s="9">
        <v>5000</v>
      </c>
      <c r="Z46" s="9">
        <v>5000</v>
      </c>
      <c r="AA46" s="9">
        <f>5000+4500</f>
        <v>9500</v>
      </c>
      <c r="AB46" s="9">
        <f>5000+4500</f>
        <v>9500</v>
      </c>
      <c r="AC46" s="9">
        <f>4500*2</f>
        <v>9000</v>
      </c>
      <c r="AD46" s="9">
        <v>4500</v>
      </c>
      <c r="AE46" s="9">
        <v>4500</v>
      </c>
      <c r="AF46" s="9">
        <v>4500</v>
      </c>
      <c r="AG46" s="9">
        <v>4500</v>
      </c>
      <c r="AH46" s="9">
        <v>4500</v>
      </c>
      <c r="AI46" s="9">
        <v>4500</v>
      </c>
      <c r="AJ46" s="8">
        <f t="shared" si="12"/>
        <v>52000</v>
      </c>
      <c r="AK46" s="8">
        <f t="shared" si="13"/>
        <v>70000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8">
        <f t="shared" si="5"/>
        <v>0</v>
      </c>
      <c r="AY46" s="7">
        <f t="shared" si="6"/>
        <v>-66000</v>
      </c>
      <c r="AZ46" s="7">
        <f t="shared" si="9"/>
        <v>-70000</v>
      </c>
      <c r="BA46" s="46"/>
      <c r="BB46" s="5" t="s">
        <v>575</v>
      </c>
    </row>
    <row r="47" spans="1:54">
      <c r="A47" s="11">
        <f t="shared" si="10"/>
        <v>40</v>
      </c>
      <c r="B47" s="6" t="s">
        <v>13</v>
      </c>
      <c r="C47" s="10" t="str">
        <f>IF($B47="","",IFERROR(INDEX(Apoio!$L$3:$L$81,MATCH($B47,Apoio!$K$3:$K$81,0)),""))</f>
        <v>COMERCIALIZADORA</v>
      </c>
      <c r="D47" s="6" t="s">
        <v>85</v>
      </c>
      <c r="E47" s="10" t="str">
        <f>IF($D47="","",IFERROR(INDEX(Apoio!$C$3:$C$81,MATCH($D47,Apoio!$B$3:$B$81,0)),""))</f>
        <v>Middle Office</v>
      </c>
      <c r="F47" s="10" t="str">
        <f>IF($D47="","",IFERROR(INDEX(Apoio!$D$3:$D$81,MATCH($D47,Apoio!$B$3:$B$81,0)),""))</f>
        <v>Rafael Lemos</v>
      </c>
      <c r="G47" s="10">
        <f>IF($H47="","",IFERROR(_xlfn.XLOOKUP(H47,'De x Para DRE'!C:C,'De x Para DRE'!B:B),""))</f>
        <v>5110100501</v>
      </c>
      <c r="H47" s="6" t="s">
        <v>442</v>
      </c>
      <c r="I47" s="10" t="str">
        <f>IF($G47="","",IFERROR(INDEX('De x Para DRE'!$E$3:$E$210,MATCH($G47,'De x Para DRE'!$B$3:$B$210,0)),""))</f>
        <v>3.1 G&amp;A</v>
      </c>
      <c r="J47" s="6" t="s">
        <v>625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8">
        <f t="shared" si="11"/>
        <v>0</v>
      </c>
      <c r="X47" s="9">
        <v>7834.63</v>
      </c>
      <c r="Y47" s="9"/>
      <c r="Z47" s="9">
        <v>7834.63</v>
      </c>
      <c r="AA47" s="9"/>
      <c r="AB47" s="9"/>
      <c r="AC47" s="9"/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8">
        <f t="shared" si="12"/>
        <v>15669.26</v>
      </c>
      <c r="AK47" s="8">
        <f t="shared" si="13"/>
        <v>15669.26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8">
        <f t="shared" si="5"/>
        <v>0</v>
      </c>
      <c r="AY47" s="7">
        <f t="shared" si="6"/>
        <v>0</v>
      </c>
      <c r="AZ47" s="7">
        <f t="shared" si="9"/>
        <v>-15669.26</v>
      </c>
      <c r="BA47" s="46"/>
      <c r="BB47" s="5" t="s">
        <v>575</v>
      </c>
    </row>
    <row r="48" spans="1:54">
      <c r="A48" s="11">
        <f t="shared" si="10"/>
        <v>41</v>
      </c>
      <c r="B48" s="6" t="s">
        <v>13</v>
      </c>
      <c r="C48" s="10" t="str">
        <f>IF($B48="","",IFERROR(INDEX(Apoio!$L$3:$L$81,MATCH($B48,Apoio!$K$3:$K$81,0)),""))</f>
        <v>COMERCIALIZADORA</v>
      </c>
      <c r="D48" s="6" t="s">
        <v>85</v>
      </c>
      <c r="E48" s="10" t="str">
        <f>IF($D48="","",IFERROR(INDEX(Apoio!$C$3:$C$81,MATCH($D48,Apoio!$B$3:$B$81,0)),""))</f>
        <v>Middle Office</v>
      </c>
      <c r="F48" s="10" t="str">
        <f>IF($D48="","",IFERROR(INDEX(Apoio!$D$3:$D$81,MATCH($D48,Apoio!$B$3:$B$81,0)),""))</f>
        <v>Rafael Lemos</v>
      </c>
      <c r="G48" s="10">
        <f>IF($H48="","",IFERROR(_xlfn.XLOOKUP(H48,'De x Para DRE'!C:C,'De x Para DRE'!B:B),""))</f>
        <v>5110100903</v>
      </c>
      <c r="H48" s="6" t="s">
        <v>475</v>
      </c>
      <c r="I48" s="10" t="str">
        <f>IF($G48="","",IFERROR(INDEX('De x Para DRE'!$E$3:$E$210,MATCH($G48,'De x Para DRE'!$B$3:$B$210,0)),""))</f>
        <v>3.1 G&amp;A</v>
      </c>
      <c r="J48" s="6" t="s">
        <v>626</v>
      </c>
      <c r="K48" s="9">
        <v>200</v>
      </c>
      <c r="L48" s="9">
        <v>200</v>
      </c>
      <c r="M48" s="9">
        <v>200</v>
      </c>
      <c r="N48" s="9">
        <v>200</v>
      </c>
      <c r="O48" s="9">
        <v>200</v>
      </c>
      <c r="P48" s="9">
        <v>200</v>
      </c>
      <c r="Q48" s="9">
        <v>200</v>
      </c>
      <c r="R48" s="9">
        <v>200</v>
      </c>
      <c r="S48" s="9">
        <v>200</v>
      </c>
      <c r="T48" s="9">
        <v>200</v>
      </c>
      <c r="U48" s="9">
        <v>200</v>
      </c>
      <c r="V48" s="9">
        <v>200</v>
      </c>
      <c r="W48" s="8">
        <f t="shared" si="11"/>
        <v>2400</v>
      </c>
      <c r="X48" s="9"/>
      <c r="Y48" s="9"/>
      <c r="Z48" s="9"/>
      <c r="AA48" s="9"/>
      <c r="AB48" s="9"/>
      <c r="AC48" s="9"/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8">
        <f t="shared" si="12"/>
        <v>0</v>
      </c>
      <c r="AK48" s="8">
        <f t="shared" si="13"/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8">
        <f t="shared" si="5"/>
        <v>0</v>
      </c>
      <c r="AY48" s="7">
        <f t="shared" si="6"/>
        <v>-2400</v>
      </c>
      <c r="AZ48" s="7">
        <f t="shared" ref="AZ48:AZ56" si="15">IF($AX48="","",$AX48-IF($AK48="",0,$AK48))</f>
        <v>0</v>
      </c>
      <c r="BA48" s="46"/>
      <c r="BB48" s="5" t="s">
        <v>575</v>
      </c>
    </row>
    <row r="49" spans="1:54">
      <c r="A49" s="11">
        <f t="shared" si="10"/>
        <v>42</v>
      </c>
      <c r="B49" s="6" t="s">
        <v>13</v>
      </c>
      <c r="C49" s="10" t="str">
        <f>IF($B49="","",IFERROR(INDEX(Apoio!$L$3:$L$81,MATCH($B49,Apoio!$K$3:$K$81,0)),""))</f>
        <v>COMERCIALIZADORA</v>
      </c>
      <c r="D49" s="6" t="s">
        <v>85</v>
      </c>
      <c r="E49" s="10" t="str">
        <f>IF($D49="","",IFERROR(INDEX(Apoio!$C$3:$C$81,MATCH($D49,Apoio!$B$3:$B$81,0)),""))</f>
        <v>Middle Office</v>
      </c>
      <c r="F49" s="10" t="str">
        <f>IF($D49="","",IFERROR(INDEX(Apoio!$D$3:$D$81,MATCH($D49,Apoio!$B$3:$B$81,0)),""))</f>
        <v>Rafael Lemos</v>
      </c>
      <c r="G49" s="10">
        <f>IF($H49="","",IFERROR(_xlfn.XLOOKUP(H49,'De x Para DRE'!C:C,'De x Para DRE'!B:B),""))</f>
        <v>5110100803</v>
      </c>
      <c r="H49" s="6" t="s">
        <v>468</v>
      </c>
      <c r="I49" s="10" t="str">
        <f>IF($G49="","",IFERROR(INDEX('De x Para DRE'!$E$3:$E$210,MATCH($G49,'De x Para DRE'!$B$3:$B$210,0)),""))</f>
        <v>3.1 G&amp;A</v>
      </c>
      <c r="J49" s="6" t="s">
        <v>607</v>
      </c>
      <c r="K49" s="9">
        <v>58.975000000000001</v>
      </c>
      <c r="L49" s="9">
        <v>58.975000000000001</v>
      </c>
      <c r="M49" s="9">
        <v>58.975000000000001</v>
      </c>
      <c r="N49" s="9">
        <v>58.975000000000001</v>
      </c>
      <c r="O49" s="9">
        <v>58.975000000000001</v>
      </c>
      <c r="P49" s="9">
        <v>58.975000000000001</v>
      </c>
      <c r="Q49" s="9">
        <v>58.975000000000001</v>
      </c>
      <c r="R49" s="9">
        <v>58.975000000000001</v>
      </c>
      <c r="S49" s="9">
        <v>58.975000000000001</v>
      </c>
      <c r="T49" s="9">
        <v>58.975000000000001</v>
      </c>
      <c r="U49" s="9">
        <v>58.975000000000001</v>
      </c>
      <c r="V49" s="9">
        <v>58.975000000000001</v>
      </c>
      <c r="W49" s="8">
        <f t="shared" si="11"/>
        <v>707.70000000000016</v>
      </c>
      <c r="X49" s="9"/>
      <c r="Y49" s="9"/>
      <c r="Z49" s="9">
        <v>727.2</v>
      </c>
      <c r="AA49" s="9"/>
      <c r="AB49" s="9"/>
      <c r="AC49" s="9"/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8">
        <f t="shared" si="12"/>
        <v>727.2</v>
      </c>
      <c r="AK49" s="8">
        <f t="shared" si="13"/>
        <v>727.2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8">
        <f t="shared" si="5"/>
        <v>0</v>
      </c>
      <c r="AY49" s="7">
        <f t="shared" si="6"/>
        <v>-707.70000000000016</v>
      </c>
      <c r="AZ49" s="7">
        <f t="shared" si="15"/>
        <v>-727.2</v>
      </c>
      <c r="BA49" s="46"/>
      <c r="BB49" s="5" t="s">
        <v>575</v>
      </c>
    </row>
    <row r="50" spans="1:54">
      <c r="A50" s="11">
        <f t="shared" si="10"/>
        <v>43</v>
      </c>
      <c r="B50" s="6" t="s">
        <v>13</v>
      </c>
      <c r="C50" s="10" t="str">
        <f>IF($B50="","",IFERROR(INDEX(Apoio!$L$3:$L$81,MATCH($B50,Apoio!$K$3:$K$81,0)),""))</f>
        <v>COMERCIALIZADORA</v>
      </c>
      <c r="D50" s="6" t="s">
        <v>85</v>
      </c>
      <c r="E50" s="10" t="str">
        <f>IF($D50="","",IFERROR(INDEX(Apoio!$C$3:$C$81,MATCH($D50,Apoio!$B$3:$B$81,0)),""))</f>
        <v>Middle Office</v>
      </c>
      <c r="F50" s="10" t="str">
        <f>IF($D50="","",IFERROR(INDEX(Apoio!$D$3:$D$81,MATCH($D50,Apoio!$B$3:$B$81,0)),""))</f>
        <v>Rafael Lemos</v>
      </c>
      <c r="G50" s="10">
        <f>IF($H50="","",IFERROR(_xlfn.XLOOKUP(H50,'De x Para DRE'!C:C,'De x Para DRE'!B:B),""))</f>
        <v>5110100804</v>
      </c>
      <c r="H50" s="6" t="s">
        <v>469</v>
      </c>
      <c r="I50" s="10" t="str">
        <f>IF($G50="","",IFERROR(INDEX('De x Para DRE'!$E$3:$E$210,MATCH($G50,'De x Para DRE'!$B$3:$B$210,0)),""))</f>
        <v>3.1 G&amp;A</v>
      </c>
      <c r="J50" s="6" t="s">
        <v>608</v>
      </c>
      <c r="K50" s="9">
        <v>666.66666666666663</v>
      </c>
      <c r="L50" s="9">
        <v>666.66666666666663</v>
      </c>
      <c r="M50" s="9">
        <v>666.66666666666663</v>
      </c>
      <c r="N50" s="9">
        <v>666.66666666666663</v>
      </c>
      <c r="O50" s="9">
        <v>666.66666666666663</v>
      </c>
      <c r="P50" s="9">
        <v>666.66666666666663</v>
      </c>
      <c r="Q50" s="9">
        <v>666.66666666666663</v>
      </c>
      <c r="R50" s="9">
        <v>666.66666666666663</v>
      </c>
      <c r="S50" s="9">
        <v>666.66666666666663</v>
      </c>
      <c r="T50" s="9">
        <v>666.66666666666663</v>
      </c>
      <c r="U50" s="9">
        <v>666.66666666666663</v>
      </c>
      <c r="V50" s="9">
        <v>666.66666666666663</v>
      </c>
      <c r="W50" s="8">
        <f t="shared" si="11"/>
        <v>8000.0000000000009</v>
      </c>
      <c r="X50" s="9">
        <v>4837.99</v>
      </c>
      <c r="Y50" s="9"/>
      <c r="Z50" s="9"/>
      <c r="AA50" s="9"/>
      <c r="AB50" s="9"/>
      <c r="AC50" s="9"/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8">
        <f t="shared" si="12"/>
        <v>4837.99</v>
      </c>
      <c r="AK50" s="8">
        <f t="shared" si="13"/>
        <v>4837.99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8">
        <f t="shared" si="5"/>
        <v>0</v>
      </c>
      <c r="AY50" s="7">
        <f t="shared" si="6"/>
        <v>-8000.0000000000009</v>
      </c>
      <c r="AZ50" s="7">
        <f t="shared" si="15"/>
        <v>-4837.99</v>
      </c>
      <c r="BA50" s="46"/>
      <c r="BB50" s="5" t="s">
        <v>575</v>
      </c>
    </row>
    <row r="51" spans="1:54">
      <c r="A51" s="11">
        <f t="shared" si="10"/>
        <v>44</v>
      </c>
      <c r="B51" s="6" t="s">
        <v>13</v>
      </c>
      <c r="C51" s="10" t="str">
        <f>IF($B51="","",IFERROR(INDEX(Apoio!$L$3:$L$81,MATCH($B51,Apoio!$K$3:$K$81,0)),""))</f>
        <v>COMERCIALIZADORA</v>
      </c>
      <c r="D51" s="6" t="s">
        <v>85</v>
      </c>
      <c r="E51" s="10" t="str">
        <f>IF($D51="","",IFERROR(INDEX(Apoio!$C$3:$C$81,MATCH($D51,Apoio!$B$3:$B$81,0)),""))</f>
        <v>Middle Office</v>
      </c>
      <c r="F51" s="10" t="str">
        <f>IF($D51="","",IFERROR(INDEX(Apoio!$D$3:$D$81,MATCH($D51,Apoio!$B$3:$B$81,0)),""))</f>
        <v>Rafael Lemos</v>
      </c>
      <c r="G51" s="10">
        <f>IF($H51="","",IFERROR(_xlfn.XLOOKUP(H51,'De x Para DRE'!C:C,'De x Para DRE'!B:B),""))</f>
        <v>5110100807</v>
      </c>
      <c r="H51" s="6" t="s">
        <v>472</v>
      </c>
      <c r="I51" s="10" t="str">
        <f>IF($G51="","",IFERROR(INDEX('De x Para DRE'!$E$3:$E$210,MATCH($G51,'De x Para DRE'!$B$3:$B$210,0)),""))</f>
        <v>3.1 G&amp;A</v>
      </c>
      <c r="J51" s="6" t="s">
        <v>627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8">
        <f t="shared" si="11"/>
        <v>0</v>
      </c>
      <c r="X51" s="9"/>
      <c r="Y51" s="9"/>
      <c r="Z51" s="9"/>
      <c r="AA51" s="9"/>
      <c r="AB51" s="9"/>
      <c r="AC51" s="9"/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8">
        <f t="shared" si="12"/>
        <v>0</v>
      </c>
      <c r="AK51" s="8">
        <f t="shared" si="13"/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8">
        <f t="shared" si="5"/>
        <v>0</v>
      </c>
      <c r="AY51" s="7">
        <f t="shared" si="6"/>
        <v>0</v>
      </c>
      <c r="AZ51" s="7">
        <f t="shared" si="15"/>
        <v>0</v>
      </c>
      <c r="BA51" s="46"/>
      <c r="BB51" s="5" t="s">
        <v>575</v>
      </c>
    </row>
    <row r="52" spans="1:54">
      <c r="A52" s="11">
        <f t="shared" si="10"/>
        <v>45</v>
      </c>
      <c r="B52" s="6" t="s">
        <v>13</v>
      </c>
      <c r="C52" s="10" t="str">
        <f>IF($B52="","",IFERROR(INDEX(Apoio!$L$3:$L$81,MATCH($B52,Apoio!$K$3:$K$81,0)),""))</f>
        <v>COMERCIALIZADORA</v>
      </c>
      <c r="D52" s="6" t="s">
        <v>85</v>
      </c>
      <c r="E52" s="10" t="str">
        <f>IF($D52="","",IFERROR(INDEX(Apoio!$C$3:$C$81,MATCH($D52,Apoio!$B$3:$B$81,0)),""))</f>
        <v>Middle Office</v>
      </c>
      <c r="F52" s="10" t="str">
        <f>IF($D52="","",IFERROR(INDEX(Apoio!$D$3:$D$81,MATCH($D52,Apoio!$B$3:$B$81,0)),""))</f>
        <v>Rafael Lemos</v>
      </c>
      <c r="G52" s="10">
        <f>IF($H52="","",IFERROR(_xlfn.XLOOKUP(H52,'De x Para DRE'!C:C,'De x Para DRE'!B:B),""))</f>
        <v>5110100406</v>
      </c>
      <c r="H52" s="6" t="s">
        <v>438</v>
      </c>
      <c r="I52" s="10" t="str">
        <f>IF($G52="","",IFERROR(INDEX('De x Para DRE'!$E$3:$E$210,MATCH($G52,'De x Para DRE'!$B$3:$B$210,0)),""))</f>
        <v>3.1 G&amp;A</v>
      </c>
      <c r="J52" s="6" t="s">
        <v>628</v>
      </c>
      <c r="K52" s="9">
        <v>100</v>
      </c>
      <c r="L52" s="9">
        <v>100</v>
      </c>
      <c r="M52" s="9">
        <v>100</v>
      </c>
      <c r="N52" s="9">
        <v>100</v>
      </c>
      <c r="O52" s="9">
        <v>100</v>
      </c>
      <c r="P52" s="9">
        <v>100</v>
      </c>
      <c r="Q52" s="9">
        <v>100</v>
      </c>
      <c r="R52" s="9">
        <v>100</v>
      </c>
      <c r="S52" s="9">
        <v>100</v>
      </c>
      <c r="T52" s="9">
        <v>100</v>
      </c>
      <c r="U52" s="9">
        <v>100</v>
      </c>
      <c r="V52" s="9">
        <v>100</v>
      </c>
      <c r="W52" s="8">
        <f t="shared" si="11"/>
        <v>1200</v>
      </c>
      <c r="X52" s="9">
        <v>98</v>
      </c>
      <c r="Y52" s="9">
        <v>98</v>
      </c>
      <c r="Z52" s="9"/>
      <c r="AA52" s="9"/>
      <c r="AB52" s="9"/>
      <c r="AC52" s="9">
        <v>98</v>
      </c>
      <c r="AD52" s="9">
        <v>98</v>
      </c>
      <c r="AE52" s="9">
        <v>98</v>
      </c>
      <c r="AF52" s="9">
        <v>98</v>
      </c>
      <c r="AG52" s="9">
        <v>98</v>
      </c>
      <c r="AH52" s="9">
        <v>98</v>
      </c>
      <c r="AI52" s="9">
        <v>98</v>
      </c>
      <c r="AJ52" s="8">
        <f t="shared" si="12"/>
        <v>490</v>
      </c>
      <c r="AK52" s="8">
        <f t="shared" si="13"/>
        <v>882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8">
        <f t="shared" si="5"/>
        <v>0</v>
      </c>
      <c r="AY52" s="7">
        <f t="shared" si="6"/>
        <v>-1200</v>
      </c>
      <c r="AZ52" s="7">
        <f t="shared" si="15"/>
        <v>-882</v>
      </c>
      <c r="BA52" s="46"/>
      <c r="BB52" s="5" t="s">
        <v>575</v>
      </c>
    </row>
    <row r="53" spans="1:54">
      <c r="A53" s="11">
        <f t="shared" si="10"/>
        <v>46</v>
      </c>
      <c r="B53" s="6" t="s">
        <v>13</v>
      </c>
      <c r="C53" s="10" t="str">
        <f>IF($B53="","",IFERROR(INDEX(Apoio!$L$3:$L$81,MATCH($B53,Apoio!$K$3:$K$81,0)),""))</f>
        <v>COMERCIALIZADORA</v>
      </c>
      <c r="D53" s="6" t="s">
        <v>85</v>
      </c>
      <c r="E53" s="10" t="str">
        <f>IF($D53="","",IFERROR(INDEX(Apoio!$C$3:$C$81,MATCH($D53,Apoio!$B$3:$B$81,0)),""))</f>
        <v>Middle Office</v>
      </c>
      <c r="F53" s="10" t="str">
        <f>IF($D53="","",IFERROR(INDEX(Apoio!$D$3:$D$81,MATCH($D53,Apoio!$B$3:$B$81,0)),""))</f>
        <v>Rafael Lemos</v>
      </c>
      <c r="G53" s="10">
        <f>IF($H53="","",IFERROR(_xlfn.XLOOKUP(H53,'De x Para DRE'!C:C,'De x Para DRE'!B:B),""))</f>
        <v>5110100802</v>
      </c>
      <c r="H53" s="6" t="s">
        <v>467</v>
      </c>
      <c r="I53" s="10" t="str">
        <f>IF($G53="","",IFERROR(INDEX('De x Para DRE'!$E$3:$E$210,MATCH($G53,'De x Para DRE'!$B$3:$B$210,0)),""))</f>
        <v>3.1 G&amp;A</v>
      </c>
      <c r="J53" s="6" t="s">
        <v>612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8">
        <f t="shared" si="11"/>
        <v>0</v>
      </c>
      <c r="X53" s="9"/>
      <c r="Y53" s="9"/>
      <c r="Z53" s="9"/>
      <c r="AA53" s="9"/>
      <c r="AB53" s="9"/>
      <c r="AC53" s="9"/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8">
        <f t="shared" si="12"/>
        <v>0</v>
      </c>
      <c r="AK53" s="8">
        <f t="shared" si="13"/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8">
        <f t="shared" si="5"/>
        <v>0</v>
      </c>
      <c r="AY53" s="7">
        <f t="shared" si="6"/>
        <v>0</v>
      </c>
      <c r="AZ53" s="7">
        <f t="shared" si="15"/>
        <v>0</v>
      </c>
      <c r="BA53" s="46"/>
      <c r="BB53" s="5" t="s">
        <v>575</v>
      </c>
    </row>
    <row r="54" spans="1:54">
      <c r="A54" s="11">
        <f t="shared" si="10"/>
        <v>47</v>
      </c>
      <c r="B54" s="6" t="s">
        <v>13</v>
      </c>
      <c r="C54" s="10" t="str">
        <f>IF($B54="","",IFERROR(INDEX(Apoio!$L$3:$L$81,MATCH($B54,Apoio!$K$3:$K$81,0)),""))</f>
        <v>COMERCIALIZADORA</v>
      </c>
      <c r="D54" s="6" t="s">
        <v>85</v>
      </c>
      <c r="E54" s="10" t="str">
        <f>IF($D54="","",IFERROR(INDEX(Apoio!$C$3:$C$81,MATCH($D54,Apoio!$B$3:$B$81,0)),""))</f>
        <v>Middle Office</v>
      </c>
      <c r="F54" s="10" t="str">
        <f>IF($D54="","",IFERROR(INDEX(Apoio!$D$3:$D$81,MATCH($D54,Apoio!$B$3:$B$81,0)),""))</f>
        <v>Rafael Lemos</v>
      </c>
      <c r="G54" s="10">
        <f>IF($H54="","",IFERROR(_xlfn.XLOOKUP(H54,'De x Para DRE'!C:C,'De x Para DRE'!B:B),""))</f>
        <v>5110100801</v>
      </c>
      <c r="H54" s="6" t="s">
        <v>466</v>
      </c>
      <c r="I54" s="10" t="str">
        <f>IF($G54="","",IFERROR(INDEX('De x Para DRE'!$E$3:$E$210,MATCH($G54,'De x Para DRE'!$B$3:$B$210,0)),""))</f>
        <v>3.1 G&amp;A</v>
      </c>
      <c r="J54" s="6" t="s">
        <v>613</v>
      </c>
      <c r="K54" s="9">
        <v>64.484999999999999</v>
      </c>
      <c r="L54" s="9">
        <v>64.484999999999999</v>
      </c>
      <c r="M54" s="9">
        <v>64.484999999999999</v>
      </c>
      <c r="N54" s="9">
        <v>64.484999999999999</v>
      </c>
      <c r="O54" s="9">
        <v>64.484999999999999</v>
      </c>
      <c r="P54" s="9">
        <v>64.484999999999999</v>
      </c>
      <c r="Q54" s="9">
        <v>64.484999999999999</v>
      </c>
      <c r="R54" s="9">
        <v>64.484999999999999</v>
      </c>
      <c r="S54" s="9">
        <v>64.484999999999999</v>
      </c>
      <c r="T54" s="9">
        <v>64.484999999999999</v>
      </c>
      <c r="U54" s="9">
        <v>64.484999999999999</v>
      </c>
      <c r="V54" s="9">
        <v>64.484999999999999</v>
      </c>
      <c r="W54" s="8">
        <f t="shared" si="11"/>
        <v>773.82</v>
      </c>
      <c r="X54" s="9"/>
      <c r="Y54" s="9">
        <f>126.92+479.19</f>
        <v>606.11</v>
      </c>
      <c r="Z54" s="9"/>
      <c r="AA54" s="9"/>
      <c r="AB54" s="9"/>
      <c r="AC54" s="9"/>
      <c r="AD54" s="9">
        <v>0</v>
      </c>
      <c r="AE54" s="9">
        <v>192.96</v>
      </c>
      <c r="AF54" s="9">
        <v>0</v>
      </c>
      <c r="AG54" s="9">
        <v>0</v>
      </c>
      <c r="AH54" s="9">
        <v>0</v>
      </c>
      <c r="AI54" s="9">
        <v>0</v>
      </c>
      <c r="AJ54" s="8">
        <f t="shared" si="12"/>
        <v>799.07</v>
      </c>
      <c r="AK54" s="8">
        <f t="shared" si="13"/>
        <v>799.07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8">
        <f t="shared" si="5"/>
        <v>0</v>
      </c>
      <c r="AY54" s="7">
        <f t="shared" si="6"/>
        <v>-773.82</v>
      </c>
      <c r="AZ54" s="7">
        <f t="shared" si="15"/>
        <v>-799.07</v>
      </c>
      <c r="BA54" s="46"/>
      <c r="BB54" s="5" t="s">
        <v>575</v>
      </c>
    </row>
    <row r="55" spans="1:54" ht="101.25">
      <c r="A55" s="11">
        <f t="shared" si="10"/>
        <v>48</v>
      </c>
      <c r="B55" s="6" t="s">
        <v>13</v>
      </c>
      <c r="C55" s="10" t="str">
        <f>IF($B55="","",IFERROR(INDEX(Apoio!$L$3:$L$81,MATCH($B55,Apoio!$K$3:$K$81,0)),""))</f>
        <v>COMERCIALIZADORA</v>
      </c>
      <c r="D55" s="6" t="s">
        <v>34</v>
      </c>
      <c r="E55" s="10" t="str">
        <f>IF($D55="","",IFERROR(INDEX(Apoio!$C$3:$C$81,MATCH($D55,Apoio!$B$3:$B$81,0)),""))</f>
        <v>TI</v>
      </c>
      <c r="F55" s="10" t="str">
        <f>IF($D55="","",IFERROR(INDEX(Apoio!$D$3:$D$81,MATCH($D55,Apoio!$B$3:$B$81,0)),""))</f>
        <v>Marcelo Bronzatti</v>
      </c>
      <c r="G55" s="10">
        <f>IF($H55="","",IFERROR(_xlfn.XLOOKUP(H55,'De x Para DRE'!C:C,'De x Para DRE'!B:B),""))</f>
        <v>5110100702</v>
      </c>
      <c r="H55" s="6" t="s">
        <v>460</v>
      </c>
      <c r="I55" s="10" t="str">
        <f>IF($G55="","",IFERROR(INDEX('De x Para DRE'!$E$3:$E$210,MATCH($G55,'De x Para DRE'!$B$3:$B$210,0)),""))</f>
        <v>3.1 G&amp;A</v>
      </c>
      <c r="J55" s="60" t="s">
        <v>629</v>
      </c>
      <c r="K55" s="9">
        <v>8500</v>
      </c>
      <c r="L55" s="9">
        <v>8500</v>
      </c>
      <c r="M55" s="9">
        <v>8500</v>
      </c>
      <c r="N55" s="9">
        <v>8500</v>
      </c>
      <c r="O55" s="9">
        <v>8500</v>
      </c>
      <c r="P55" s="9">
        <v>8500</v>
      </c>
      <c r="Q55" s="9">
        <v>8500</v>
      </c>
      <c r="R55" s="9">
        <v>8500</v>
      </c>
      <c r="S55" s="9">
        <v>8500</v>
      </c>
      <c r="T55" s="9">
        <v>8500</v>
      </c>
      <c r="U55" s="9">
        <v>8500</v>
      </c>
      <c r="V55" s="9">
        <v>8500</v>
      </c>
      <c r="W55" s="8">
        <f t="shared" si="11"/>
        <v>102000</v>
      </c>
      <c r="X55" s="9">
        <v>5357.78</v>
      </c>
      <c r="Y55" s="9">
        <v>5850.93</v>
      </c>
      <c r="Z55" s="9">
        <v>10800</v>
      </c>
      <c r="AA55" s="9">
        <v>1934.43</v>
      </c>
      <c r="AB55" s="9">
        <v>1761.35</v>
      </c>
      <c r="AC55" s="9">
        <f>1666.97-98</f>
        <v>1568.97</v>
      </c>
      <c r="AD55" s="9">
        <v>1568.97</v>
      </c>
      <c r="AE55" s="9">
        <f>1666.97-AE52</f>
        <v>1568.97</v>
      </c>
      <c r="AF55" s="9">
        <v>1568.97</v>
      </c>
      <c r="AG55" s="9">
        <v>1568.97</v>
      </c>
      <c r="AH55" s="9">
        <v>1568.97</v>
      </c>
      <c r="AI55" s="9">
        <v>1568.97</v>
      </c>
      <c r="AJ55" s="8">
        <f t="shared" si="12"/>
        <v>30411.4</v>
      </c>
      <c r="AK55" s="8">
        <f t="shared" si="13"/>
        <v>36687.280000000006</v>
      </c>
      <c r="AL55" s="9">
        <v>6000</v>
      </c>
      <c r="AM55" s="9">
        <v>6000</v>
      </c>
      <c r="AN55" s="9">
        <v>6000</v>
      </c>
      <c r="AO55" s="9">
        <v>6000</v>
      </c>
      <c r="AP55" s="9">
        <v>6000</v>
      </c>
      <c r="AQ55" s="9">
        <v>6000</v>
      </c>
      <c r="AR55" s="9">
        <v>6000</v>
      </c>
      <c r="AS55" s="9">
        <v>6000</v>
      </c>
      <c r="AT55" s="9">
        <v>6000</v>
      </c>
      <c r="AU55" s="9">
        <v>6000</v>
      </c>
      <c r="AV55" s="9">
        <v>6000</v>
      </c>
      <c r="AW55" s="9">
        <v>6000</v>
      </c>
      <c r="AX55" s="8">
        <f t="shared" si="5"/>
        <v>72000</v>
      </c>
      <c r="AY55" s="7">
        <f t="shared" si="6"/>
        <v>-30000</v>
      </c>
      <c r="AZ55" s="7">
        <f t="shared" si="15"/>
        <v>35312.719999999994</v>
      </c>
      <c r="BA55" s="46" t="s">
        <v>630</v>
      </c>
      <c r="BB55" s="5" t="s">
        <v>575</v>
      </c>
    </row>
    <row r="56" spans="1:54">
      <c r="A56" s="11">
        <f t="shared" si="10"/>
        <v>49</v>
      </c>
      <c r="B56" s="6" t="s">
        <v>13</v>
      </c>
      <c r="C56" s="10" t="str">
        <f>IF($B56="","",IFERROR(INDEX(Apoio!$L$3:$L$81,MATCH($B56,Apoio!$K$3:$K$81,0)),""))</f>
        <v>COMERCIALIZADORA</v>
      </c>
      <c r="D56" s="6" t="s">
        <v>85</v>
      </c>
      <c r="E56" s="10" t="str">
        <f>IF($D56="","",IFERROR(INDEX(Apoio!$C$3:$C$81,MATCH($D56,Apoio!$B$3:$B$81,0)),""))</f>
        <v>Middle Office</v>
      </c>
      <c r="F56" s="10" t="str">
        <f>IF($D56="","",IFERROR(INDEX(Apoio!$D$3:$D$81,MATCH($D56,Apoio!$B$3:$B$81,0)),""))</f>
        <v>Rafael Lemos</v>
      </c>
      <c r="G56" s="10">
        <f>IF($H56="","",IFERROR(_xlfn.XLOOKUP(H56,'De x Para DRE'!C:C,'De x Para DRE'!B:B),""))</f>
        <v>5110100702</v>
      </c>
      <c r="H56" s="6" t="s">
        <v>460</v>
      </c>
      <c r="I56" s="10" t="str">
        <f>IF($G56="","",IFERROR(INDEX('De x Para DRE'!$E$3:$E$210,MATCH($G56,'De x Para DRE'!$B$3:$B$210,0)),""))</f>
        <v>3.1 G&amp;A</v>
      </c>
      <c r="J56" s="6" t="s">
        <v>631</v>
      </c>
      <c r="K56" s="9"/>
      <c r="L56" s="9"/>
      <c r="M56" s="9">
        <v>60000</v>
      </c>
      <c r="N56" s="9"/>
      <c r="O56" s="9"/>
      <c r="P56" s="9"/>
      <c r="Q56" s="9"/>
      <c r="R56" s="9"/>
      <c r="S56" s="9"/>
      <c r="T56" s="9"/>
      <c r="U56" s="9"/>
      <c r="V56" s="9"/>
      <c r="W56" s="8">
        <f t="shared" si="11"/>
        <v>60000</v>
      </c>
      <c r="X56" s="9"/>
      <c r="Y56" s="9"/>
      <c r="Z56" s="9"/>
      <c r="AA56" s="9"/>
      <c r="AB56" s="9"/>
      <c r="AC56" s="9"/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8">
        <f t="shared" si="12"/>
        <v>0</v>
      </c>
      <c r="AK56" s="8">
        <f t="shared" si="13"/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8">
        <f t="shared" si="5"/>
        <v>0</v>
      </c>
      <c r="AY56" s="7">
        <f t="shared" si="6"/>
        <v>-60000</v>
      </c>
      <c r="AZ56" s="7">
        <f t="shared" si="15"/>
        <v>0</v>
      </c>
      <c r="BA56" s="46"/>
      <c r="BB56" s="5" t="s">
        <v>575</v>
      </c>
    </row>
    <row r="57" spans="1:54">
      <c r="A57" s="61" t="s">
        <v>632</v>
      </c>
      <c r="Z57" s="4"/>
      <c r="AA57" s="4"/>
    </row>
    <row r="58" spans="1:54">
      <c r="A58" s="11">
        <f t="shared" ref="A58:A68" si="16">IF(OR($B58="",$D58="",$G58=""),"",ROW()-7)</f>
        <v>51</v>
      </c>
      <c r="B58" s="6" t="s">
        <v>13</v>
      </c>
      <c r="C58" s="10" t="str">
        <f>IF($B58="","",IFERROR(INDEX(Apoio!$L$3:$L$81,MATCH($B58,Apoio!$K$3:$K$81,0)),""))</f>
        <v>COMERCIALIZADORA</v>
      </c>
      <c r="D58" s="6" t="s">
        <v>85</v>
      </c>
      <c r="E58" s="10" t="str">
        <f>IF($D58="","",IFERROR(INDEX(Apoio!$C$3:$C$81,MATCH($D58,Apoio!$B$3:$B$81,0)),""))</f>
        <v>Middle Office</v>
      </c>
      <c r="F58" s="10" t="str">
        <f>IF($D58="","",IFERROR(INDEX(Apoio!$D$3:$D$81,MATCH($D58,Apoio!$B$3:$B$81,0)),""))</f>
        <v>Rafael Lemos</v>
      </c>
      <c r="G58" s="10">
        <f>IF($H58="","",IFERROR(_xlfn.XLOOKUP(H58,'De x Para DRE'!C:C,'De x Para DRE'!B:B),""))</f>
        <v>5110100406</v>
      </c>
      <c r="H58" s="6" t="s">
        <v>438</v>
      </c>
      <c r="I58" s="10" t="str">
        <f>IF($G58="","",IFERROR(INDEX('De x Para DRE'!$E$3:$E$210,MATCH($G58,'De x Para DRE'!$B$3:$B$210,0)),""))</f>
        <v>3.1 G&amp;A</v>
      </c>
      <c r="J58" s="6" t="s">
        <v>633</v>
      </c>
      <c r="K58" s="9">
        <v>100</v>
      </c>
      <c r="L58" s="9">
        <v>100</v>
      </c>
      <c r="M58" s="9">
        <v>100</v>
      </c>
      <c r="N58" s="9">
        <v>100</v>
      </c>
      <c r="O58" s="9">
        <v>100</v>
      </c>
      <c r="P58" s="9">
        <v>100</v>
      </c>
      <c r="Q58" s="9">
        <v>100</v>
      </c>
      <c r="R58" s="9">
        <v>100</v>
      </c>
      <c r="S58" s="9">
        <v>100</v>
      </c>
      <c r="T58" s="9">
        <v>100</v>
      </c>
      <c r="U58" s="9">
        <v>100</v>
      </c>
      <c r="V58" s="9">
        <v>100</v>
      </c>
      <c r="W58" s="8"/>
      <c r="X58" s="9">
        <v>98</v>
      </c>
      <c r="Y58" s="9">
        <v>98</v>
      </c>
      <c r="Z58" s="9"/>
      <c r="AA58" s="9"/>
      <c r="AB58" s="9"/>
      <c r="AC58" s="9">
        <v>98</v>
      </c>
      <c r="AD58" s="9">
        <v>98</v>
      </c>
      <c r="AE58" s="9">
        <v>98</v>
      </c>
      <c r="AF58" s="9">
        <v>98</v>
      </c>
      <c r="AG58" s="9">
        <v>98</v>
      </c>
      <c r="AH58" s="9">
        <v>98</v>
      </c>
      <c r="AI58" s="9">
        <v>98</v>
      </c>
      <c r="AJ58" s="8">
        <f t="shared" ref="AJ58:AJ59" si="17">SUM(X58:AE58)</f>
        <v>490</v>
      </c>
      <c r="AK58" s="8"/>
      <c r="AL58" s="9">
        <v>100</v>
      </c>
      <c r="AM58" s="9">
        <v>100</v>
      </c>
      <c r="AN58" s="9">
        <v>100</v>
      </c>
      <c r="AO58" s="9">
        <v>100</v>
      </c>
      <c r="AP58" s="9">
        <v>100</v>
      </c>
      <c r="AQ58" s="9">
        <v>100</v>
      </c>
      <c r="AR58" s="9">
        <v>100</v>
      </c>
      <c r="AS58" s="9">
        <v>100</v>
      </c>
      <c r="AT58" s="9">
        <v>100</v>
      </c>
      <c r="AU58" s="9">
        <v>100</v>
      </c>
      <c r="AV58" s="9">
        <v>100</v>
      </c>
      <c r="AW58" s="9">
        <v>100</v>
      </c>
      <c r="AX58" s="8">
        <f t="shared" si="5"/>
        <v>1200</v>
      </c>
      <c r="AY58" s="7">
        <f t="shared" ref="AY58:AZ68" si="18">IF($AX58="","",$AX58-IF($AK58="",0,$AK58))</f>
        <v>1200</v>
      </c>
      <c r="AZ58" s="7">
        <f t="shared" si="18"/>
        <v>1200</v>
      </c>
      <c r="BA58" s="46"/>
      <c r="BB58" s="5" t="s">
        <v>575</v>
      </c>
    </row>
    <row r="59" spans="1:54">
      <c r="A59" s="11">
        <f t="shared" si="16"/>
        <v>52</v>
      </c>
      <c r="B59" s="6" t="s">
        <v>13</v>
      </c>
      <c r="C59" s="10" t="str">
        <f>IF($B59="","",IFERROR(INDEX(Apoio!$L$3:$L$81,MATCH($B59,Apoio!$K$3:$K$81,0)),""))</f>
        <v>COMERCIALIZADORA</v>
      </c>
      <c r="D59" s="6" t="s">
        <v>34</v>
      </c>
      <c r="E59" s="10" t="str">
        <f>IF($D59="","",IFERROR(INDEX(Apoio!$C$3:$C$81,MATCH($D59,Apoio!$B$3:$B$81,0)),""))</f>
        <v>TI</v>
      </c>
      <c r="F59" s="10" t="str">
        <f>IF($D59="","",IFERROR(INDEX(Apoio!$D$3:$D$81,MATCH($D59,Apoio!$B$3:$B$81,0)),""))</f>
        <v>Marcelo Bronzatti</v>
      </c>
      <c r="G59" s="10">
        <f>IF($H59="","",IFERROR(_xlfn.XLOOKUP(H59,'De x Para DRE'!C:C,'De x Para DRE'!B:B),""))</f>
        <v>5110100201</v>
      </c>
      <c r="H59" s="6" t="s">
        <v>420</v>
      </c>
      <c r="I59" s="10" t="str">
        <f>IF($G59="","",IFERROR(INDEX('De x Para DRE'!$E$3:$E$210,MATCH($G59,'De x Para DRE'!$B$3:$B$210,0)),""))</f>
        <v>3.1 G&amp;A</v>
      </c>
      <c r="J59" s="6" t="s">
        <v>634</v>
      </c>
      <c r="K59" s="9">
        <v>333.33333333333331</v>
      </c>
      <c r="L59" s="9">
        <v>333.33333333333331</v>
      </c>
      <c r="M59" s="9">
        <v>333.33333333333331</v>
      </c>
      <c r="N59" s="9">
        <v>333.33333333333331</v>
      </c>
      <c r="O59" s="9">
        <v>333.33333333333331</v>
      </c>
      <c r="P59" s="9">
        <v>333.33333333333331</v>
      </c>
      <c r="Q59" s="9">
        <v>333.33333333333331</v>
      </c>
      <c r="R59" s="9">
        <v>333.33333333333331</v>
      </c>
      <c r="S59" s="9">
        <v>333.33333333333331</v>
      </c>
      <c r="T59" s="9">
        <v>333.33333333333331</v>
      </c>
      <c r="U59" s="9">
        <v>333.33333333333331</v>
      </c>
      <c r="V59" s="9">
        <v>333.33333333333331</v>
      </c>
      <c r="W59" s="8"/>
      <c r="X59" s="9">
        <v>500</v>
      </c>
      <c r="Y59" s="9">
        <f>1059.6+400+819.5</f>
        <v>2279.1</v>
      </c>
      <c r="Z59" s="9">
        <v>957.2</v>
      </c>
      <c r="AA59" s="9"/>
      <c r="AB59" s="9"/>
      <c r="AC59" s="9">
        <v>233.92</v>
      </c>
      <c r="AD59" s="9">
        <v>0</v>
      </c>
      <c r="AE59" s="9">
        <v>233.92</v>
      </c>
      <c r="AF59" s="9">
        <v>333.33333333333331</v>
      </c>
      <c r="AG59" s="9">
        <v>333.33333333333331</v>
      </c>
      <c r="AH59" s="9">
        <v>333.33333333333331</v>
      </c>
      <c r="AI59" s="9">
        <v>333.33333333333331</v>
      </c>
      <c r="AJ59" s="8">
        <f t="shared" si="17"/>
        <v>4204.1400000000003</v>
      </c>
      <c r="AK59" s="8"/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400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8">
        <f t="shared" si="5"/>
        <v>400</v>
      </c>
      <c r="AY59" s="7">
        <f t="shared" si="18"/>
        <v>400</v>
      </c>
      <c r="AZ59" s="7">
        <f t="shared" si="18"/>
        <v>400</v>
      </c>
      <c r="BA59" s="46"/>
      <c r="BB59" s="5" t="s">
        <v>575</v>
      </c>
    </row>
    <row r="60" spans="1:54" ht="29.25">
      <c r="A60" s="11">
        <f t="shared" si="16"/>
        <v>53</v>
      </c>
      <c r="B60" s="6" t="s">
        <v>13</v>
      </c>
      <c r="C60" s="10" t="str">
        <f>IF($B60="","",IFERROR(INDEX(Apoio!$L$3:$L$81,MATCH($B60,Apoio!$K$3:$K$81,0)),""))</f>
        <v>COMERCIALIZADORA</v>
      </c>
      <c r="D60" s="6" t="s">
        <v>34</v>
      </c>
      <c r="E60" s="10" t="str">
        <f>IF($D60="","",IFERROR(INDEX(Apoio!$C$3:$C$81,MATCH($D60,Apoio!$B$3:$B$81,0)),""))</f>
        <v>TI</v>
      </c>
      <c r="F60" s="10" t="str">
        <f>IF($D60="","",IFERROR(INDEX(Apoio!$D$3:$D$81,MATCH($D60,Apoio!$B$3:$B$81,0)),""))</f>
        <v>Marcelo Bronzatti</v>
      </c>
      <c r="G60" s="10">
        <f>IF($H60="","",IFERROR(_xlfn.XLOOKUP(H60,'De x Para DRE'!C:C,'De x Para DRE'!B:B),""))</f>
        <v>5110100702</v>
      </c>
      <c r="H60" s="6" t="s">
        <v>460</v>
      </c>
      <c r="I60" s="10" t="str">
        <f>IF($G60="","",IFERROR(INDEX('De x Para DRE'!$E$3:$E$210,MATCH($G60,'De x Para DRE'!$B$3:$B$210,0)),""))</f>
        <v>3.1 G&amp;A</v>
      </c>
      <c r="J60" s="46" t="s">
        <v>635</v>
      </c>
      <c r="K60" s="9">
        <v>4232</v>
      </c>
      <c r="L60" s="9">
        <v>4232</v>
      </c>
      <c r="M60" s="9">
        <v>4232</v>
      </c>
      <c r="N60" s="9">
        <f>4232+5894</f>
        <v>10126</v>
      </c>
      <c r="O60" s="9">
        <f>4232+5894</f>
        <v>10126</v>
      </c>
      <c r="P60" s="9">
        <f>4232+5894</f>
        <v>10126</v>
      </c>
      <c r="Q60" s="9">
        <f t="shared" ref="Q60:V63" si="19">4443.6+5894</f>
        <v>10337.6</v>
      </c>
      <c r="R60" s="9">
        <f t="shared" si="19"/>
        <v>10337.6</v>
      </c>
      <c r="S60" s="9">
        <f t="shared" si="19"/>
        <v>10337.6</v>
      </c>
      <c r="T60" s="9">
        <f t="shared" si="19"/>
        <v>10337.6</v>
      </c>
      <c r="U60" s="9">
        <f t="shared" si="19"/>
        <v>10337.6</v>
      </c>
      <c r="V60" s="9">
        <f t="shared" si="19"/>
        <v>10337.6</v>
      </c>
      <c r="W60" s="8">
        <v>0</v>
      </c>
      <c r="X60" s="9">
        <v>0</v>
      </c>
      <c r="Y60" s="9">
        <v>8464.42</v>
      </c>
      <c r="Z60" s="9">
        <v>0</v>
      </c>
      <c r="AA60" s="9">
        <v>10706.3</v>
      </c>
      <c r="AB60" s="9">
        <f>3785.4+2688.69+4232.21</f>
        <v>10706.3</v>
      </c>
      <c r="AC60" s="9">
        <f>2688.69+3785.4+2688.69+3785.4+4232.21</f>
        <v>17180.39</v>
      </c>
      <c r="AD60" s="9">
        <v>10706.3</v>
      </c>
      <c r="AE60" s="9">
        <v>10706.3</v>
      </c>
      <c r="AF60" s="9">
        <v>10706.3</v>
      </c>
      <c r="AG60" s="9">
        <v>10706.3</v>
      </c>
      <c r="AH60" s="9">
        <v>10706.3</v>
      </c>
      <c r="AI60" s="9">
        <v>10706.3</v>
      </c>
      <c r="AJ60" s="8">
        <f t="shared" ref="AJ60" si="20">SUM(X60:AE60)</f>
        <v>68470.010000000009</v>
      </c>
      <c r="AK60" s="8"/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1000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8">
        <f t="shared" si="5"/>
        <v>1000</v>
      </c>
      <c r="AY60" s="7">
        <f t="shared" si="18"/>
        <v>1000</v>
      </c>
      <c r="AZ60" s="7">
        <f t="shared" si="18"/>
        <v>1000</v>
      </c>
      <c r="BA60" s="46"/>
      <c r="BB60" s="5" t="s">
        <v>575</v>
      </c>
    </row>
    <row r="61" spans="1:54" ht="57.75">
      <c r="A61" s="11">
        <f t="shared" si="16"/>
        <v>54</v>
      </c>
      <c r="B61" s="6" t="s">
        <v>13</v>
      </c>
      <c r="C61" s="10" t="str">
        <f>IF($B61="","",IFERROR(INDEX(Apoio!$L$3:$L$81,MATCH($B61,Apoio!$K$3:$K$81,0)),""))</f>
        <v>COMERCIALIZADORA</v>
      </c>
      <c r="D61" s="6" t="s">
        <v>34</v>
      </c>
      <c r="E61" s="10" t="str">
        <f>IF($D61="","",IFERROR(INDEX(Apoio!$C$3:$C$81,MATCH($D61,Apoio!$B$3:$B$81,0)),""))</f>
        <v>TI</v>
      </c>
      <c r="F61" s="10" t="str">
        <f>IF($D61="","",IFERROR(INDEX(Apoio!$D$3:$D$81,MATCH($D61,Apoio!$B$3:$B$81,0)),""))</f>
        <v>Marcelo Bronzatti</v>
      </c>
      <c r="G61" s="10">
        <f>IF($H61="","",IFERROR(_xlfn.XLOOKUP(H61,'De x Para DRE'!C:C,'De x Para DRE'!B:B),""))</f>
        <v>5110100501</v>
      </c>
      <c r="H61" s="6" t="s">
        <v>442</v>
      </c>
      <c r="I61" s="10" t="str">
        <f>IF($G61="","",IFERROR(INDEX('De x Para DRE'!$E$3:$E$210,MATCH($G61,'De x Para DRE'!$B$3:$B$210,0)),""))</f>
        <v>3.1 G&amp;A</v>
      </c>
      <c r="J61" s="46" t="s">
        <v>636</v>
      </c>
      <c r="K61" s="9">
        <v>4232</v>
      </c>
      <c r="L61" s="9">
        <v>4232</v>
      </c>
      <c r="M61" s="9">
        <v>4232</v>
      </c>
      <c r="N61" s="9">
        <f>4232+5894</f>
        <v>10126</v>
      </c>
      <c r="O61" s="9">
        <f>4232+5894</f>
        <v>10126</v>
      </c>
      <c r="P61" s="9">
        <f>4232+5894</f>
        <v>10126</v>
      </c>
      <c r="Q61" s="9">
        <f t="shared" si="19"/>
        <v>10337.6</v>
      </c>
      <c r="R61" s="9">
        <f t="shared" si="19"/>
        <v>10337.6</v>
      </c>
      <c r="S61" s="9">
        <f t="shared" si="19"/>
        <v>10337.6</v>
      </c>
      <c r="T61" s="9">
        <f t="shared" si="19"/>
        <v>10337.6</v>
      </c>
      <c r="U61" s="9">
        <f t="shared" si="19"/>
        <v>10337.6</v>
      </c>
      <c r="V61" s="9">
        <f t="shared" si="19"/>
        <v>10337.6</v>
      </c>
      <c r="W61" s="8">
        <v>0</v>
      </c>
      <c r="X61" s="9">
        <v>0</v>
      </c>
      <c r="Y61" s="9">
        <v>8464.42</v>
      </c>
      <c r="Z61" s="9">
        <v>0</v>
      </c>
      <c r="AA61" s="9">
        <v>10706.3</v>
      </c>
      <c r="AB61" s="9">
        <f>3785.4+2688.69+4232.21</f>
        <v>10706.3</v>
      </c>
      <c r="AC61" s="9">
        <f>2688.69+3785.4+2688.69+3785.4+4232.21</f>
        <v>17180.39</v>
      </c>
      <c r="AD61" s="9">
        <v>10706.3</v>
      </c>
      <c r="AE61" s="9">
        <v>10706.3</v>
      </c>
      <c r="AF61" s="9">
        <v>10706.3</v>
      </c>
      <c r="AG61" s="9">
        <v>10706.3</v>
      </c>
      <c r="AH61" s="9">
        <v>10706.3</v>
      </c>
      <c r="AI61" s="9">
        <v>10706.3</v>
      </c>
      <c r="AJ61" s="8">
        <f t="shared" ref="AJ61" si="21">SUM(X61:AE61)</f>
        <v>68470.010000000009</v>
      </c>
      <c r="AK61" s="8"/>
      <c r="AL61" s="9">
        <v>3500</v>
      </c>
      <c r="AM61" s="9">
        <v>3500</v>
      </c>
      <c r="AN61" s="9">
        <v>3500</v>
      </c>
      <c r="AO61" s="9">
        <v>3500</v>
      </c>
      <c r="AP61" s="9">
        <v>3500</v>
      </c>
      <c r="AQ61" s="9">
        <v>3500</v>
      </c>
      <c r="AR61" s="9">
        <v>3500</v>
      </c>
      <c r="AS61" s="9">
        <v>3500</v>
      </c>
      <c r="AT61" s="9">
        <v>3500</v>
      </c>
      <c r="AU61" s="9">
        <v>3500</v>
      </c>
      <c r="AV61" s="9">
        <v>3500</v>
      </c>
      <c r="AW61" s="9">
        <v>3500</v>
      </c>
      <c r="AX61" s="8">
        <f t="shared" si="5"/>
        <v>42000</v>
      </c>
      <c r="AY61" s="7">
        <f t="shared" si="18"/>
        <v>42000</v>
      </c>
      <c r="AZ61" s="7">
        <f t="shared" si="18"/>
        <v>42000</v>
      </c>
      <c r="BA61" s="46" t="s">
        <v>637</v>
      </c>
      <c r="BB61" s="5" t="s">
        <v>575</v>
      </c>
    </row>
    <row r="62" spans="1:54" ht="72.75">
      <c r="A62" s="11">
        <f t="shared" si="16"/>
        <v>55</v>
      </c>
      <c r="B62" s="6" t="s">
        <v>13</v>
      </c>
      <c r="C62" s="10" t="str">
        <f>IF($B62="","",IFERROR(INDEX(Apoio!$L$3:$L$81,MATCH($B62,Apoio!$K$3:$K$81,0)),""))</f>
        <v>COMERCIALIZADORA</v>
      </c>
      <c r="D62" s="6" t="s">
        <v>34</v>
      </c>
      <c r="E62" s="10" t="str">
        <f>IF($D62="","",IFERROR(INDEX(Apoio!$C$3:$C$81,MATCH($D62,Apoio!$B$3:$B$81,0)),""))</f>
        <v>TI</v>
      </c>
      <c r="F62" s="10" t="str">
        <f>IF($D62="","",IFERROR(INDEX(Apoio!$D$3:$D$81,MATCH($D62,Apoio!$B$3:$B$81,0)),""))</f>
        <v>Marcelo Bronzatti</v>
      </c>
      <c r="G62" s="10">
        <f>IF($H62="","",IFERROR(_xlfn.XLOOKUP(H62,'De x Para DRE'!C:C,'De x Para DRE'!B:B),""))</f>
        <v>5110100501</v>
      </c>
      <c r="H62" s="6" t="s">
        <v>442</v>
      </c>
      <c r="I62" s="10" t="str">
        <f>IF($G62="","",IFERROR(INDEX('De x Para DRE'!$E$3:$E$210,MATCH($G62,'De x Para DRE'!$B$3:$B$210,0)),""))</f>
        <v>3.1 G&amp;A</v>
      </c>
      <c r="J62" s="46" t="s">
        <v>638</v>
      </c>
      <c r="K62" s="9">
        <v>4232</v>
      </c>
      <c r="L62" s="9">
        <v>4232</v>
      </c>
      <c r="M62" s="9">
        <v>4232</v>
      </c>
      <c r="N62" s="9">
        <f>4232+5894</f>
        <v>10126</v>
      </c>
      <c r="O62" s="9">
        <f>4232+5894</f>
        <v>10126</v>
      </c>
      <c r="P62" s="9">
        <f>4232+5894</f>
        <v>10126</v>
      </c>
      <c r="Q62" s="9">
        <f t="shared" si="19"/>
        <v>10337.6</v>
      </c>
      <c r="R62" s="9">
        <f t="shared" si="19"/>
        <v>10337.6</v>
      </c>
      <c r="S62" s="9">
        <f t="shared" si="19"/>
        <v>10337.6</v>
      </c>
      <c r="T62" s="9">
        <f t="shared" si="19"/>
        <v>10337.6</v>
      </c>
      <c r="U62" s="9">
        <f t="shared" si="19"/>
        <v>10337.6</v>
      </c>
      <c r="V62" s="9">
        <f t="shared" si="19"/>
        <v>10337.6</v>
      </c>
      <c r="W62" s="8">
        <v>0</v>
      </c>
      <c r="X62" s="9">
        <v>0</v>
      </c>
      <c r="Y62" s="9">
        <v>8464.42</v>
      </c>
      <c r="Z62" s="9">
        <v>0</v>
      </c>
      <c r="AA62" s="9">
        <v>10706.3</v>
      </c>
      <c r="AB62" s="9">
        <f>3785.4+2688.69+4232.21</f>
        <v>10706.3</v>
      </c>
      <c r="AC62" s="9">
        <f>2688.69+3785.4+2688.69+3785.4+4232.21</f>
        <v>17180.39</v>
      </c>
      <c r="AD62" s="9">
        <v>10706.3</v>
      </c>
      <c r="AE62" s="9">
        <v>10706.3</v>
      </c>
      <c r="AF62" s="9">
        <v>10706.3</v>
      </c>
      <c r="AG62" s="9">
        <v>10706.3</v>
      </c>
      <c r="AH62" s="9">
        <v>10706.3</v>
      </c>
      <c r="AI62" s="9">
        <v>10706.3</v>
      </c>
      <c r="AJ62" s="8">
        <f t="shared" ref="AJ62" si="22">SUM(X62:AE62)</f>
        <v>68470.010000000009</v>
      </c>
      <c r="AK62" s="8"/>
      <c r="AL62" s="9">
        <v>2000</v>
      </c>
      <c r="AM62" s="9">
        <v>2000</v>
      </c>
      <c r="AN62" s="9">
        <v>2000</v>
      </c>
      <c r="AO62" s="9">
        <v>2000</v>
      </c>
      <c r="AP62" s="9">
        <v>2000</v>
      </c>
      <c r="AQ62" s="9">
        <v>2000</v>
      </c>
      <c r="AR62" s="9">
        <v>2000</v>
      </c>
      <c r="AS62" s="9">
        <v>2000</v>
      </c>
      <c r="AT62" s="9">
        <v>2000</v>
      </c>
      <c r="AU62" s="9">
        <v>2000</v>
      </c>
      <c r="AV62" s="9">
        <v>2000</v>
      </c>
      <c r="AW62" s="9">
        <v>2000</v>
      </c>
      <c r="AX62" s="8">
        <f t="shared" si="5"/>
        <v>24000</v>
      </c>
      <c r="AY62" s="7">
        <f t="shared" si="18"/>
        <v>24000</v>
      </c>
      <c r="AZ62" s="7">
        <f t="shared" si="18"/>
        <v>24000</v>
      </c>
      <c r="BA62" s="46" t="s">
        <v>639</v>
      </c>
    </row>
    <row r="63" spans="1:54" ht="87">
      <c r="A63" s="11">
        <f t="shared" si="16"/>
        <v>56</v>
      </c>
      <c r="B63" s="6" t="s">
        <v>13</v>
      </c>
      <c r="C63" s="10" t="str">
        <f>IF($B63="","",IFERROR(INDEX(Apoio!$L$3:$L$81,MATCH($B63,Apoio!$K$3:$K$81,0)),""))</f>
        <v>COMERCIALIZADORA</v>
      </c>
      <c r="D63" s="6" t="s">
        <v>34</v>
      </c>
      <c r="E63" s="10" t="str">
        <f>IF($D63="","",IFERROR(INDEX(Apoio!$C$3:$C$81,MATCH($D63,Apoio!$B$3:$B$81,0)),""))</f>
        <v>TI</v>
      </c>
      <c r="F63" s="10" t="str">
        <f>IF($D63="","",IFERROR(INDEX(Apoio!$D$3:$D$81,MATCH($D63,Apoio!$B$3:$B$81,0)),""))</f>
        <v>Marcelo Bronzatti</v>
      </c>
      <c r="G63" s="10">
        <f>IF($H63="","",IFERROR(_xlfn.XLOOKUP(H63,'De x Para DRE'!C:C,'De x Para DRE'!B:B),""))</f>
        <v>5110100501</v>
      </c>
      <c r="H63" s="6" t="s">
        <v>442</v>
      </c>
      <c r="I63" s="10" t="str">
        <f>IF($G63="","",IFERROR(INDEX('De x Para DRE'!$E$3:$E$210,MATCH($G63,'De x Para DRE'!$B$3:$B$210,0)),""))</f>
        <v>3.1 G&amp;A</v>
      </c>
      <c r="J63" s="46" t="s">
        <v>640</v>
      </c>
      <c r="K63" s="9">
        <v>4232</v>
      </c>
      <c r="L63" s="9">
        <v>4232</v>
      </c>
      <c r="M63" s="9">
        <v>4232</v>
      </c>
      <c r="N63" s="9">
        <f>4232+5894</f>
        <v>10126</v>
      </c>
      <c r="O63" s="9">
        <f>4232+5894</f>
        <v>10126</v>
      </c>
      <c r="P63" s="9">
        <f>4232+5894</f>
        <v>10126</v>
      </c>
      <c r="Q63" s="9">
        <f t="shared" si="19"/>
        <v>10337.6</v>
      </c>
      <c r="R63" s="9">
        <f t="shared" si="19"/>
        <v>10337.6</v>
      </c>
      <c r="S63" s="9">
        <f t="shared" si="19"/>
        <v>10337.6</v>
      </c>
      <c r="T63" s="9">
        <f t="shared" si="19"/>
        <v>10337.6</v>
      </c>
      <c r="U63" s="9">
        <f t="shared" si="19"/>
        <v>10337.6</v>
      </c>
      <c r="V63" s="9">
        <f t="shared" si="19"/>
        <v>10337.6</v>
      </c>
      <c r="W63" s="8">
        <v>0</v>
      </c>
      <c r="X63" s="9">
        <v>0</v>
      </c>
      <c r="Y63" s="9">
        <v>8464.42</v>
      </c>
      <c r="Z63" s="9">
        <v>0</v>
      </c>
      <c r="AA63" s="9">
        <v>10706.3</v>
      </c>
      <c r="AB63" s="9">
        <f>3785.4+2688.69+4232.21</f>
        <v>10706.3</v>
      </c>
      <c r="AC63" s="9">
        <f>2688.69+3785.4+2688.69+3785.4+4232.21</f>
        <v>17180.39</v>
      </c>
      <c r="AD63" s="9">
        <v>10706.3</v>
      </c>
      <c r="AE63" s="9">
        <v>10706.3</v>
      </c>
      <c r="AF63" s="9">
        <v>10706.3</v>
      </c>
      <c r="AG63" s="9">
        <v>10706.3</v>
      </c>
      <c r="AH63" s="9">
        <v>10706.3</v>
      </c>
      <c r="AI63" s="9">
        <v>10706.3</v>
      </c>
      <c r="AJ63" s="8">
        <f t="shared" ref="AJ63:AJ64" si="23">SUM(X63:AE63)</f>
        <v>68470.010000000009</v>
      </c>
      <c r="AK63" s="8"/>
      <c r="AL63" s="9">
        <v>20000</v>
      </c>
      <c r="AM63" s="9">
        <v>20000</v>
      </c>
      <c r="AN63" s="9">
        <v>20000</v>
      </c>
      <c r="AO63" s="9">
        <v>20000</v>
      </c>
      <c r="AP63" s="9">
        <v>20000</v>
      </c>
      <c r="AQ63" s="9">
        <v>20000</v>
      </c>
      <c r="AR63" s="9">
        <v>20000</v>
      </c>
      <c r="AS63" s="9">
        <v>20000</v>
      </c>
      <c r="AT63" s="9">
        <v>20000</v>
      </c>
      <c r="AU63" s="9">
        <v>20000</v>
      </c>
      <c r="AV63" s="9">
        <v>20000</v>
      </c>
      <c r="AW63" s="9">
        <v>20000</v>
      </c>
      <c r="AX63" s="8">
        <f t="shared" si="5"/>
        <v>240000</v>
      </c>
      <c r="AY63" s="7">
        <f t="shared" si="18"/>
        <v>240000</v>
      </c>
      <c r="AZ63" s="7">
        <f t="shared" si="18"/>
        <v>240000</v>
      </c>
      <c r="BA63" s="46" t="s">
        <v>641</v>
      </c>
    </row>
    <row r="64" spans="1:54">
      <c r="A64" s="11">
        <f t="shared" si="16"/>
        <v>57</v>
      </c>
      <c r="B64" s="6" t="s">
        <v>13</v>
      </c>
      <c r="C64" s="10" t="str">
        <f>IF($B64="","",IFERROR(INDEX(Apoio!$L$3:$L$81,MATCH($B64,Apoio!$K$3:$K$81,0)),""))</f>
        <v>COMERCIALIZADORA</v>
      </c>
      <c r="D64" s="6" t="s">
        <v>34</v>
      </c>
      <c r="E64" s="10" t="str">
        <f>IF($D64="","",IFERROR(INDEX(Apoio!$C$3:$C$81,MATCH($D64,Apoio!$B$3:$B$81,0)),""))</f>
        <v>TI</v>
      </c>
      <c r="F64" s="10" t="str">
        <f>IF($D64="","",IFERROR(INDEX(Apoio!$D$3:$D$81,MATCH($D64,Apoio!$B$3:$B$81,0)),""))</f>
        <v>Marcelo Bronzatti</v>
      </c>
      <c r="G64" s="10">
        <f>IF($H64="","",IFERROR(_xlfn.XLOOKUP(H64,'De x Para DRE'!C:C,'De x Para DRE'!B:B),""))</f>
        <v>5110100201</v>
      </c>
      <c r="H64" s="6" t="s">
        <v>420</v>
      </c>
      <c r="I64" s="10" t="str">
        <f>IF($G64="","",IFERROR(INDEX('De x Para DRE'!$E$3:$E$210,MATCH($G64,'De x Para DRE'!$B$3:$B$210,0)),""))</f>
        <v>3.1 G&amp;A</v>
      </c>
      <c r="J64" s="6" t="s">
        <v>642</v>
      </c>
      <c r="K64" s="9">
        <v>333.33333333333331</v>
      </c>
      <c r="L64" s="9">
        <v>333.33333333333331</v>
      </c>
      <c r="M64" s="9">
        <v>333.33333333333331</v>
      </c>
      <c r="N64" s="9">
        <v>333.33333333333331</v>
      </c>
      <c r="O64" s="9">
        <v>333.33333333333331</v>
      </c>
      <c r="P64" s="9">
        <v>333.33333333333331</v>
      </c>
      <c r="Q64" s="9">
        <v>333.33333333333331</v>
      </c>
      <c r="R64" s="9">
        <v>333.33333333333331</v>
      </c>
      <c r="S64" s="9">
        <v>333.33333333333331</v>
      </c>
      <c r="T64" s="9">
        <v>333.33333333333331</v>
      </c>
      <c r="U64" s="9">
        <v>333.33333333333331</v>
      </c>
      <c r="V64" s="9">
        <v>333.33333333333331</v>
      </c>
      <c r="W64" s="8"/>
      <c r="X64" s="9">
        <v>500</v>
      </c>
      <c r="Y64" s="9">
        <f>1059.6+400+819.5</f>
        <v>2279.1</v>
      </c>
      <c r="Z64" s="9">
        <v>957.2</v>
      </c>
      <c r="AA64" s="9"/>
      <c r="AB64" s="9"/>
      <c r="AC64" s="9">
        <v>233.92</v>
      </c>
      <c r="AD64" s="9">
        <v>0</v>
      </c>
      <c r="AE64" s="9">
        <v>233.92</v>
      </c>
      <c r="AF64" s="9">
        <v>333.33333333333331</v>
      </c>
      <c r="AG64" s="9">
        <v>333.33333333333331</v>
      </c>
      <c r="AH64" s="9">
        <v>333.33333333333331</v>
      </c>
      <c r="AI64" s="9">
        <v>333.33333333333331</v>
      </c>
      <c r="AJ64" s="8">
        <f t="shared" si="23"/>
        <v>4204.1400000000003</v>
      </c>
      <c r="AK64" s="8"/>
      <c r="AL64" s="9"/>
      <c r="AM64" s="9"/>
      <c r="AN64" s="9"/>
      <c r="AO64" s="9"/>
      <c r="AP64" s="9"/>
      <c r="AQ64" s="9">
        <v>10000</v>
      </c>
      <c r="AR64" s="9"/>
      <c r="AS64" s="9"/>
      <c r="AT64" s="9"/>
      <c r="AU64" s="9"/>
      <c r="AV64" s="9"/>
      <c r="AW64" s="9">
        <v>10000</v>
      </c>
      <c r="AX64" s="8">
        <f t="shared" si="5"/>
        <v>20000</v>
      </c>
      <c r="AY64" s="7">
        <f t="shared" si="18"/>
        <v>20000</v>
      </c>
      <c r="AZ64" s="7">
        <f t="shared" si="18"/>
        <v>20000</v>
      </c>
      <c r="BA64" s="46"/>
      <c r="BB64" s="5" t="s">
        <v>575</v>
      </c>
    </row>
    <row r="65" spans="1:54">
      <c r="A65" s="11">
        <f t="shared" si="16"/>
        <v>58</v>
      </c>
      <c r="B65" s="6" t="s">
        <v>13</v>
      </c>
      <c r="C65" s="10" t="str">
        <f>IF($B65="","",IFERROR(INDEX(Apoio!$L$3:$L$81,MATCH($B65,Apoio!$K$3:$K$81,0)),""))</f>
        <v>COMERCIALIZADORA</v>
      </c>
      <c r="D65" s="6" t="s">
        <v>34</v>
      </c>
      <c r="E65" s="10" t="str">
        <f>IF($D65="","",IFERROR(INDEX(Apoio!$C$3:$C$81,MATCH($D65,Apoio!$B$3:$B$81,0)),""))</f>
        <v>TI</v>
      </c>
      <c r="F65" s="10" t="str">
        <f>IF($D65="","",IFERROR(INDEX(Apoio!$D$3:$D$81,MATCH($D65,Apoio!$B$3:$B$81,0)),""))</f>
        <v>Marcelo Bronzatti</v>
      </c>
      <c r="G65" s="10">
        <f>IF($H65="","",IFERROR(_xlfn.XLOOKUP(H65,'De x Para DRE'!C:C,'De x Para DRE'!B:B),""))</f>
        <v>5110100707</v>
      </c>
      <c r="H65" s="6" t="s">
        <v>465</v>
      </c>
      <c r="I65" s="10" t="str">
        <f>IF($G65="","",IFERROR(INDEX('De x Para DRE'!$E$3:$E$210,MATCH($G65,'De x Para DRE'!$B$3:$B$210,0)),""))</f>
        <v>3.1 G&amp;A</v>
      </c>
      <c r="J65" s="6" t="s">
        <v>643</v>
      </c>
      <c r="K65" s="9">
        <v>333.33333333333331</v>
      </c>
      <c r="L65" s="9">
        <v>333.33333333333331</v>
      </c>
      <c r="M65" s="9">
        <v>333.33333333333331</v>
      </c>
      <c r="N65" s="9">
        <v>333.33333333333331</v>
      </c>
      <c r="O65" s="9">
        <v>333.33333333333331</v>
      </c>
      <c r="P65" s="9">
        <v>333.33333333333331</v>
      </c>
      <c r="Q65" s="9">
        <v>333.33333333333331</v>
      </c>
      <c r="R65" s="9">
        <v>333.33333333333331</v>
      </c>
      <c r="S65" s="9">
        <v>333.33333333333331</v>
      </c>
      <c r="T65" s="9">
        <v>333.33333333333331</v>
      </c>
      <c r="U65" s="9">
        <v>333.33333333333331</v>
      </c>
      <c r="V65" s="9">
        <v>333.33333333333331</v>
      </c>
      <c r="W65" s="8"/>
      <c r="X65" s="9">
        <v>500</v>
      </c>
      <c r="Y65" s="9">
        <f>1059.6+400+819.5</f>
        <v>2279.1</v>
      </c>
      <c r="Z65" s="9">
        <v>957.2</v>
      </c>
      <c r="AA65" s="9"/>
      <c r="AB65" s="9"/>
      <c r="AC65" s="9">
        <v>233.92</v>
      </c>
      <c r="AD65" s="9">
        <v>0</v>
      </c>
      <c r="AE65" s="9">
        <v>233.92</v>
      </c>
      <c r="AF65" s="9">
        <v>333.33333333333331</v>
      </c>
      <c r="AG65" s="9">
        <v>333.33333333333331</v>
      </c>
      <c r="AH65" s="9">
        <v>333.33333333333331</v>
      </c>
      <c r="AI65" s="9">
        <v>333.33333333333331</v>
      </c>
      <c r="AJ65" s="8">
        <f t="shared" ref="AJ65:AJ66" si="24">SUM(X65:AE65)</f>
        <v>4204.1400000000003</v>
      </c>
      <c r="AK65" s="8"/>
      <c r="AL65" s="9">
        <v>2500</v>
      </c>
      <c r="AM65" s="9">
        <v>2500</v>
      </c>
      <c r="AN65" s="9">
        <v>2500</v>
      </c>
      <c r="AO65" s="9">
        <v>2500</v>
      </c>
      <c r="AP65" s="9">
        <v>2500</v>
      </c>
      <c r="AQ65" s="9">
        <v>2500</v>
      </c>
      <c r="AR65" s="9">
        <v>2500</v>
      </c>
      <c r="AS65" s="9">
        <v>2500</v>
      </c>
      <c r="AT65" s="9">
        <v>2500</v>
      </c>
      <c r="AU65" s="9">
        <v>2500</v>
      </c>
      <c r="AV65" s="9">
        <v>2500</v>
      </c>
      <c r="AW65" s="9">
        <v>2500</v>
      </c>
      <c r="AX65" s="8">
        <f t="shared" si="5"/>
        <v>30000</v>
      </c>
      <c r="AY65" s="7">
        <f t="shared" si="18"/>
        <v>30000</v>
      </c>
      <c r="AZ65" s="7">
        <f t="shared" si="18"/>
        <v>30000</v>
      </c>
      <c r="BA65" s="46"/>
      <c r="BB65" s="5" t="s">
        <v>575</v>
      </c>
    </row>
    <row r="66" spans="1:54">
      <c r="A66" s="11">
        <f t="shared" si="16"/>
        <v>59</v>
      </c>
      <c r="B66" s="6" t="s">
        <v>13</v>
      </c>
      <c r="C66" s="10" t="str">
        <f>IF($B66="","",IFERROR(INDEX(Apoio!$L$3:$L$81,MATCH($B66,Apoio!$K$3:$K$81,0)),""))</f>
        <v>COMERCIALIZADORA</v>
      </c>
      <c r="D66" s="6" t="s">
        <v>34</v>
      </c>
      <c r="E66" s="10" t="str">
        <f>IF($D66="","",IFERROR(INDEX(Apoio!$C$3:$C$81,MATCH($D66,Apoio!$B$3:$B$81,0)),""))</f>
        <v>TI</v>
      </c>
      <c r="F66" s="10" t="str">
        <f>IF($D66="","",IFERROR(INDEX(Apoio!$D$3:$D$81,MATCH($D66,Apoio!$B$3:$B$81,0)),""))</f>
        <v>Marcelo Bronzatti</v>
      </c>
      <c r="G66" s="10">
        <f>IF($H66="","",IFERROR(_xlfn.XLOOKUP(H66,'De x Para DRE'!C:C,'De x Para DRE'!B:B),""))</f>
        <v>5110100702</v>
      </c>
      <c r="H66" s="6" t="s">
        <v>460</v>
      </c>
      <c r="I66" s="10" t="str">
        <f>IF($G66="","",IFERROR(INDEX('De x Para DRE'!$E$3:$E$210,MATCH($G66,'De x Para DRE'!$B$3:$B$210,0)),""))</f>
        <v>3.1 G&amp;A</v>
      </c>
      <c r="J66" s="6" t="s">
        <v>644</v>
      </c>
      <c r="K66" s="9">
        <v>4232</v>
      </c>
      <c r="L66" s="9">
        <v>4232</v>
      </c>
      <c r="M66" s="9">
        <v>4232</v>
      </c>
      <c r="N66" s="9">
        <f>4232+5894</f>
        <v>10126</v>
      </c>
      <c r="O66" s="9">
        <f>4232+5894</f>
        <v>10126</v>
      </c>
      <c r="P66" s="9">
        <f>4232+5894</f>
        <v>10126</v>
      </c>
      <c r="Q66" s="9">
        <f t="shared" ref="Q66:V68" si="25">4443.6+5894</f>
        <v>10337.6</v>
      </c>
      <c r="R66" s="9">
        <f t="shared" si="25"/>
        <v>10337.6</v>
      </c>
      <c r="S66" s="9">
        <f t="shared" si="25"/>
        <v>10337.6</v>
      </c>
      <c r="T66" s="9">
        <f t="shared" si="25"/>
        <v>10337.6</v>
      </c>
      <c r="U66" s="9">
        <f t="shared" si="25"/>
        <v>10337.6</v>
      </c>
      <c r="V66" s="9">
        <f t="shared" si="25"/>
        <v>10337.6</v>
      </c>
      <c r="W66" s="8"/>
      <c r="X66" s="9">
        <v>0</v>
      </c>
      <c r="Y66" s="9">
        <v>8464.42</v>
      </c>
      <c r="Z66" s="9">
        <v>0</v>
      </c>
      <c r="AA66" s="9">
        <v>10706.3</v>
      </c>
      <c r="AB66" s="9">
        <f>3785.4+2688.69+4232.21</f>
        <v>10706.3</v>
      </c>
      <c r="AC66" s="9">
        <f>2688.69+3785.4+2688.69+3785.4+4232.21</f>
        <v>17180.39</v>
      </c>
      <c r="AD66" s="9">
        <v>10706.3</v>
      </c>
      <c r="AE66" s="9">
        <v>10706.3</v>
      </c>
      <c r="AF66" s="9">
        <v>10706.3</v>
      </c>
      <c r="AG66" s="9">
        <v>10706.3</v>
      </c>
      <c r="AH66" s="9">
        <v>10706.3</v>
      </c>
      <c r="AI66" s="9">
        <v>10706.3</v>
      </c>
      <c r="AJ66" s="8">
        <f t="shared" si="24"/>
        <v>68470.010000000009</v>
      </c>
      <c r="AK66" s="8"/>
      <c r="AL66" s="9">
        <v>500</v>
      </c>
      <c r="AM66" s="9">
        <v>500</v>
      </c>
      <c r="AN66" s="9">
        <v>500</v>
      </c>
      <c r="AO66" s="9">
        <v>500</v>
      </c>
      <c r="AP66" s="9">
        <v>500</v>
      </c>
      <c r="AQ66" s="9">
        <v>500</v>
      </c>
      <c r="AR66" s="9">
        <v>500</v>
      </c>
      <c r="AS66" s="9">
        <v>500</v>
      </c>
      <c r="AT66" s="9">
        <v>500</v>
      </c>
      <c r="AU66" s="9">
        <v>500</v>
      </c>
      <c r="AV66" s="9">
        <v>500</v>
      </c>
      <c r="AW66" s="9">
        <v>500</v>
      </c>
      <c r="AX66" s="8">
        <f t="shared" si="5"/>
        <v>6000</v>
      </c>
      <c r="AY66" s="7">
        <f t="shared" si="18"/>
        <v>6000</v>
      </c>
      <c r="AZ66" s="7">
        <f t="shared" si="18"/>
        <v>6000</v>
      </c>
      <c r="BA66" s="46"/>
      <c r="BB66" s="5" t="s">
        <v>575</v>
      </c>
    </row>
    <row r="67" spans="1:54">
      <c r="A67" s="11">
        <f t="shared" si="16"/>
        <v>60</v>
      </c>
      <c r="B67" s="6" t="s">
        <v>13</v>
      </c>
      <c r="C67" s="10" t="str">
        <f>IF($B67="","",IFERROR(INDEX(Apoio!$L$3:$L$81,MATCH($B67,Apoio!$K$3:$K$81,0)),""))</f>
        <v>COMERCIALIZADORA</v>
      </c>
      <c r="D67" s="6" t="s">
        <v>34</v>
      </c>
      <c r="E67" s="10" t="str">
        <f>IF($D67="","",IFERROR(INDEX(Apoio!$C$3:$C$81,MATCH($D67,Apoio!$B$3:$B$81,0)),""))</f>
        <v>TI</v>
      </c>
      <c r="F67" s="10" t="str">
        <f>IF($D67="","",IFERROR(INDEX(Apoio!$D$3:$D$81,MATCH($D67,Apoio!$B$3:$B$81,0)),""))</f>
        <v>Marcelo Bronzatti</v>
      </c>
      <c r="G67" s="10">
        <f>IF($H67="","",IFERROR(_xlfn.XLOOKUP(H67,'De x Para DRE'!C:C,'De x Para DRE'!B:B),""))</f>
        <v>5110100702</v>
      </c>
      <c r="H67" s="6" t="s">
        <v>460</v>
      </c>
      <c r="I67" s="10" t="str">
        <f>IF($G67="","",IFERROR(INDEX('De x Para DRE'!$E$3:$E$210,MATCH($G67,'De x Para DRE'!$B$3:$B$210,0)),""))</f>
        <v>3.1 G&amp;A</v>
      </c>
      <c r="J67" s="6" t="s">
        <v>645</v>
      </c>
      <c r="K67" s="9">
        <v>4232</v>
      </c>
      <c r="L67" s="9">
        <v>4232</v>
      </c>
      <c r="M67" s="9">
        <v>4232</v>
      </c>
      <c r="N67" s="9">
        <f>4232+5894</f>
        <v>10126</v>
      </c>
      <c r="O67" s="9">
        <f>4232+5894</f>
        <v>10126</v>
      </c>
      <c r="P67" s="9">
        <f>4232+5894</f>
        <v>10126</v>
      </c>
      <c r="Q67" s="9">
        <f t="shared" si="25"/>
        <v>10337.6</v>
      </c>
      <c r="R67" s="9">
        <f t="shared" si="25"/>
        <v>10337.6</v>
      </c>
      <c r="S67" s="9">
        <f t="shared" si="25"/>
        <v>10337.6</v>
      </c>
      <c r="T67" s="9">
        <f t="shared" si="25"/>
        <v>10337.6</v>
      </c>
      <c r="U67" s="9">
        <f t="shared" si="25"/>
        <v>10337.6</v>
      </c>
      <c r="V67" s="9">
        <f t="shared" si="25"/>
        <v>10337.6</v>
      </c>
      <c r="W67" s="8"/>
      <c r="X67" s="9">
        <v>0</v>
      </c>
      <c r="Y67" s="9">
        <v>8464.42</v>
      </c>
      <c r="Z67" s="9">
        <v>0</v>
      </c>
      <c r="AA67" s="9">
        <v>10706.3</v>
      </c>
      <c r="AB67" s="9">
        <f>3785.4+2688.69+4232.21</f>
        <v>10706.3</v>
      </c>
      <c r="AC67" s="9">
        <f>2688.69+3785.4+2688.69+3785.4+4232.21</f>
        <v>17180.39</v>
      </c>
      <c r="AD67" s="9">
        <v>10706.3</v>
      </c>
      <c r="AE67" s="9">
        <v>10706.3</v>
      </c>
      <c r="AF67" s="9">
        <v>10706.3</v>
      </c>
      <c r="AG67" s="9">
        <v>10706.3</v>
      </c>
      <c r="AH67" s="9">
        <v>10706.3</v>
      </c>
      <c r="AI67" s="9">
        <v>10706.3</v>
      </c>
      <c r="AJ67" s="8">
        <f t="shared" ref="AJ67" si="26">SUM(X67:AE67)</f>
        <v>68470.010000000009</v>
      </c>
      <c r="AK67" s="8"/>
      <c r="AL67" s="9">
        <v>450</v>
      </c>
      <c r="AM67" s="9">
        <v>450</v>
      </c>
      <c r="AN67" s="9">
        <v>450</v>
      </c>
      <c r="AO67" s="9">
        <v>450</v>
      </c>
      <c r="AP67" s="9">
        <v>450</v>
      </c>
      <c r="AQ67" s="9">
        <v>450</v>
      </c>
      <c r="AR67" s="9">
        <v>450</v>
      </c>
      <c r="AS67" s="9">
        <v>450</v>
      </c>
      <c r="AT67" s="9">
        <v>450</v>
      </c>
      <c r="AU67" s="9">
        <v>450</v>
      </c>
      <c r="AV67" s="9">
        <v>450</v>
      </c>
      <c r="AW67" s="9">
        <v>450</v>
      </c>
      <c r="AX67" s="8">
        <f t="shared" si="5"/>
        <v>5400</v>
      </c>
      <c r="AY67" s="7">
        <f t="shared" si="18"/>
        <v>5400</v>
      </c>
      <c r="AZ67" s="7">
        <f t="shared" si="18"/>
        <v>5400</v>
      </c>
      <c r="BA67" s="46"/>
      <c r="BB67" s="5" t="s">
        <v>575</v>
      </c>
    </row>
    <row r="68" spans="1:54" ht="57.75">
      <c r="A68" s="11">
        <f t="shared" si="16"/>
        <v>61</v>
      </c>
      <c r="B68" s="6" t="s">
        <v>13</v>
      </c>
      <c r="C68" s="10" t="str">
        <f>IF($B68="","",IFERROR(INDEX(Apoio!$L$3:$L$81,MATCH($B68,Apoio!$K$3:$K$81,0)),""))</f>
        <v>COMERCIALIZADORA</v>
      </c>
      <c r="D68" s="6" t="s">
        <v>34</v>
      </c>
      <c r="E68" s="10" t="str">
        <f>IF($D68="","",IFERROR(INDEX(Apoio!$C$3:$C$81,MATCH($D68,Apoio!$B$3:$B$81,0)),""))</f>
        <v>TI</v>
      </c>
      <c r="F68" s="10" t="str">
        <f>IF($D68="","",IFERROR(INDEX(Apoio!$D$3:$D$81,MATCH($D68,Apoio!$B$3:$B$81,0)),""))</f>
        <v>Marcelo Bronzatti</v>
      </c>
      <c r="G68" s="10">
        <f>IF($H68="","",IFERROR(_xlfn.XLOOKUP(H68,'De x Para DRE'!C:C,'De x Para DRE'!B:B),""))</f>
        <v>5110100702</v>
      </c>
      <c r="H68" s="6" t="s">
        <v>460</v>
      </c>
      <c r="I68" s="10" t="str">
        <f>IF($G68="","",IFERROR(INDEX('De x Para DRE'!$E$3:$E$210,MATCH($G68,'De x Para DRE'!$B$3:$B$210,0)),""))</f>
        <v>3.1 G&amp;A</v>
      </c>
      <c r="J68" s="6" t="s">
        <v>646</v>
      </c>
      <c r="K68" s="9">
        <v>4232</v>
      </c>
      <c r="L68" s="9">
        <v>4232</v>
      </c>
      <c r="M68" s="9">
        <v>4232</v>
      </c>
      <c r="N68" s="9">
        <f>4232+5894</f>
        <v>10126</v>
      </c>
      <c r="O68" s="9">
        <f>4232+5894</f>
        <v>10126</v>
      </c>
      <c r="P68" s="9">
        <f>4232+5894</f>
        <v>10126</v>
      </c>
      <c r="Q68" s="9">
        <f t="shared" si="25"/>
        <v>10337.6</v>
      </c>
      <c r="R68" s="9">
        <f t="shared" si="25"/>
        <v>10337.6</v>
      </c>
      <c r="S68" s="9">
        <f t="shared" si="25"/>
        <v>10337.6</v>
      </c>
      <c r="T68" s="9">
        <f t="shared" si="25"/>
        <v>10337.6</v>
      </c>
      <c r="U68" s="9">
        <f t="shared" si="25"/>
        <v>10337.6</v>
      </c>
      <c r="V68" s="9">
        <f t="shared" si="25"/>
        <v>10337.6</v>
      </c>
      <c r="W68" s="8"/>
      <c r="X68" s="9">
        <v>0</v>
      </c>
      <c r="Y68" s="9">
        <v>8464.42</v>
      </c>
      <c r="Z68" s="9">
        <v>0</v>
      </c>
      <c r="AA68" s="9">
        <v>10706.3</v>
      </c>
      <c r="AB68" s="9">
        <f>3785.4+2688.69+4232.21</f>
        <v>10706.3</v>
      </c>
      <c r="AC68" s="9">
        <f>2688.69+3785.4+2688.69+3785.4+4232.21</f>
        <v>17180.39</v>
      </c>
      <c r="AD68" s="9">
        <v>10706.3</v>
      </c>
      <c r="AE68" s="9">
        <v>10706.3</v>
      </c>
      <c r="AF68" s="9">
        <v>10706.3</v>
      </c>
      <c r="AG68" s="9">
        <v>10706.3</v>
      </c>
      <c r="AH68" s="9">
        <v>10706.3</v>
      </c>
      <c r="AI68" s="9">
        <v>10706.3</v>
      </c>
      <c r="AJ68" s="8">
        <f t="shared" ref="AJ68" si="27">SUM(X68:AE68)</f>
        <v>68470.010000000009</v>
      </c>
      <c r="AK68" s="8"/>
      <c r="AL68" s="9">
        <v>13000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8">
        <f t="shared" si="5"/>
        <v>13000</v>
      </c>
      <c r="AY68" s="7">
        <f t="shared" si="18"/>
        <v>13000</v>
      </c>
      <c r="AZ68" s="7">
        <f t="shared" si="18"/>
        <v>13000</v>
      </c>
      <c r="BA68" s="46" t="s">
        <v>647</v>
      </c>
      <c r="BB68" s="5" t="s">
        <v>575</v>
      </c>
    </row>
  </sheetData>
  <mergeCells count="10">
    <mergeCell ref="A1:BB2"/>
    <mergeCell ref="A3:BB3"/>
    <mergeCell ref="A4:H4"/>
    <mergeCell ref="A6:I6"/>
    <mergeCell ref="K6:V6"/>
    <mergeCell ref="X6:AI6"/>
    <mergeCell ref="AJ6:AK6"/>
    <mergeCell ref="AL6:AW6"/>
    <mergeCell ref="AX6:AZ6"/>
    <mergeCell ref="BA6:BB6"/>
  </mergeCells>
  <conditionalFormatting sqref="K8:V56 X8:AI56 AL8:AW56">
    <cfRule type="cellIs" dxfId="79" priority="71" operator="lessThan">
      <formula>0</formula>
    </cfRule>
  </conditionalFormatting>
  <conditionalFormatting sqref="AY8:AZ56">
    <cfRule type="cellIs" dxfId="78" priority="69" operator="greaterThan">
      <formula>0</formula>
    </cfRule>
    <cfRule type="cellIs" dxfId="77" priority="70" operator="lessThan">
      <formula>0</formula>
    </cfRule>
  </conditionalFormatting>
  <conditionalFormatting sqref="BB8:BB56">
    <cfRule type="containsText" dxfId="76" priority="72" operator="containsText" text="Finalizado"/>
    <cfRule type="containsText" dxfId="75" priority="73" operator="containsText" text="Em revisão"/>
    <cfRule type="containsText" dxfId="74" priority="74" operator="containsText" text="Rascunho"/>
  </conditionalFormatting>
  <conditionalFormatting sqref="K58:V58 X58:AI58 AL58:AW58">
    <cfRule type="cellIs" dxfId="73" priority="59" operator="lessThan">
      <formula>0</formula>
    </cfRule>
  </conditionalFormatting>
  <conditionalFormatting sqref="AY58:AZ58">
    <cfRule type="cellIs" dxfId="72" priority="57" operator="greaterThan">
      <formula>0</formula>
    </cfRule>
    <cfRule type="cellIs" dxfId="71" priority="58" operator="lessThan">
      <formula>0</formula>
    </cfRule>
  </conditionalFormatting>
  <conditionalFormatting sqref="BB58">
    <cfRule type="containsText" dxfId="70" priority="60" operator="containsText" text="Finalizado"/>
    <cfRule type="containsText" dxfId="69" priority="61" operator="containsText" text="Em revisão"/>
    <cfRule type="containsText" dxfId="68" priority="62" operator="containsText" text="Rascunho"/>
  </conditionalFormatting>
  <conditionalFormatting sqref="K59:V59 X59:AI59 AL59:AW59">
    <cfRule type="cellIs" dxfId="67" priority="53" operator="lessThan">
      <formula>0</formula>
    </cfRule>
  </conditionalFormatting>
  <conditionalFormatting sqref="AY59:AZ59">
    <cfRule type="cellIs" dxfId="66" priority="51" operator="greaterThan">
      <formula>0</formula>
    </cfRule>
    <cfRule type="cellIs" dxfId="65" priority="52" operator="lessThan">
      <formula>0</formula>
    </cfRule>
  </conditionalFormatting>
  <conditionalFormatting sqref="BB59">
    <cfRule type="containsText" dxfId="64" priority="54" operator="containsText" text="Finalizado"/>
    <cfRule type="containsText" dxfId="63" priority="55" operator="containsText" text="Em revisão"/>
    <cfRule type="containsText" dxfId="62" priority="56" operator="containsText" text="Rascunho"/>
  </conditionalFormatting>
  <conditionalFormatting sqref="K60:V60 X60:AI60 AL60:AW60">
    <cfRule type="cellIs" dxfId="61" priority="47" operator="lessThan">
      <formula>0</formula>
    </cfRule>
  </conditionalFormatting>
  <conditionalFormatting sqref="AY60:AZ60">
    <cfRule type="cellIs" dxfId="60" priority="45" operator="greaterThan">
      <formula>0</formula>
    </cfRule>
    <cfRule type="cellIs" dxfId="59" priority="46" operator="lessThan">
      <formula>0</formula>
    </cfRule>
  </conditionalFormatting>
  <conditionalFormatting sqref="BB60:BB61">
    <cfRule type="containsText" dxfId="58" priority="48" operator="containsText" text="Finalizado"/>
    <cfRule type="containsText" dxfId="57" priority="49" operator="containsText" text="Em revisão"/>
    <cfRule type="containsText" dxfId="56" priority="50" operator="containsText" text="Rascunho"/>
  </conditionalFormatting>
  <conditionalFormatting sqref="K61:V61 X61:AI61 AL61:AW61">
    <cfRule type="cellIs" dxfId="55" priority="41" operator="lessThan">
      <formula>0</formula>
    </cfRule>
  </conditionalFormatting>
  <conditionalFormatting sqref="AY61:AZ61">
    <cfRule type="cellIs" dxfId="54" priority="39" operator="greaterThan">
      <formula>0</formula>
    </cfRule>
    <cfRule type="cellIs" dxfId="53" priority="40" operator="lessThan">
      <formula>0</formula>
    </cfRule>
  </conditionalFormatting>
  <conditionalFormatting sqref="K62:V62 X62:AI62 AL62:AW62">
    <cfRule type="cellIs" dxfId="52" priority="38" operator="lessThan">
      <formula>0</formula>
    </cfRule>
  </conditionalFormatting>
  <conditionalFormatting sqref="AY62:AZ62">
    <cfRule type="cellIs" dxfId="51" priority="36" operator="greaterThan">
      <formula>0</formula>
    </cfRule>
    <cfRule type="cellIs" dxfId="50" priority="37" operator="lessThan">
      <formula>0</formula>
    </cfRule>
  </conditionalFormatting>
  <conditionalFormatting sqref="K63:V63 X63:AI63 AL63:AW63">
    <cfRule type="cellIs" dxfId="49" priority="35" operator="lessThan">
      <formula>0</formula>
    </cfRule>
  </conditionalFormatting>
  <conditionalFormatting sqref="AY63:AZ63">
    <cfRule type="cellIs" dxfId="48" priority="33" operator="greaterThan">
      <formula>0</formula>
    </cfRule>
    <cfRule type="cellIs" dxfId="47" priority="34" operator="lessThan">
      <formula>0</formula>
    </cfRule>
  </conditionalFormatting>
  <conditionalFormatting sqref="K64:V64 X64:AI64 AL64:AW64">
    <cfRule type="cellIs" dxfId="46" priority="29" operator="lessThan">
      <formula>0</formula>
    </cfRule>
  </conditionalFormatting>
  <conditionalFormatting sqref="AY64:AZ64">
    <cfRule type="cellIs" dxfId="45" priority="27" operator="greaterThan">
      <formula>0</formula>
    </cfRule>
    <cfRule type="cellIs" dxfId="44" priority="28" operator="lessThan">
      <formula>0</formula>
    </cfRule>
  </conditionalFormatting>
  <conditionalFormatting sqref="BB64:BB65">
    <cfRule type="containsText" dxfId="43" priority="30" operator="containsText" text="Finalizado"/>
    <cfRule type="containsText" dxfId="42" priority="31" operator="containsText" text="Em revisão"/>
    <cfRule type="containsText" dxfId="41" priority="32" operator="containsText" text="Rascunho"/>
  </conditionalFormatting>
  <conditionalFormatting sqref="K65:V65 X65:AI65 AL65:AW65">
    <cfRule type="cellIs" dxfId="40" priority="26" operator="lessThan">
      <formula>0</formula>
    </cfRule>
  </conditionalFormatting>
  <conditionalFormatting sqref="AY65:AZ65">
    <cfRule type="cellIs" dxfId="39" priority="24" operator="greaterThan">
      <formula>0</formula>
    </cfRule>
    <cfRule type="cellIs" dxfId="38" priority="25" operator="lessThan">
      <formula>0</formula>
    </cfRule>
  </conditionalFormatting>
  <conditionalFormatting sqref="K66:V66 X66:AI66 AL66:AW66">
    <cfRule type="cellIs" dxfId="37" priority="20" operator="lessThan">
      <formula>0</formula>
    </cfRule>
  </conditionalFormatting>
  <conditionalFormatting sqref="AY66:AZ66">
    <cfRule type="cellIs" dxfId="36" priority="18" operator="greaterThan">
      <formula>0</formula>
    </cfRule>
    <cfRule type="cellIs" dxfId="35" priority="19" operator="lessThan">
      <formula>0</formula>
    </cfRule>
  </conditionalFormatting>
  <conditionalFormatting sqref="BB66:BB68">
    <cfRule type="containsText" dxfId="34" priority="21" operator="containsText" text="Finalizado"/>
    <cfRule type="containsText" dxfId="33" priority="22" operator="containsText" text="Em revisão"/>
    <cfRule type="containsText" dxfId="32" priority="23" operator="containsText" text="Rascunho"/>
  </conditionalFormatting>
  <conditionalFormatting sqref="K67:V67 X67:AI67 AL67:AW67">
    <cfRule type="cellIs" dxfId="31" priority="17" operator="lessThan">
      <formula>0</formula>
    </cfRule>
  </conditionalFormatting>
  <conditionalFormatting sqref="AY67:AZ67">
    <cfRule type="cellIs" dxfId="30" priority="15" operator="greaterThan">
      <formula>0</formula>
    </cfRule>
    <cfRule type="cellIs" dxfId="29" priority="16" operator="lessThan">
      <formula>0</formula>
    </cfRule>
  </conditionalFormatting>
  <conditionalFormatting sqref="K68:V68 X68:AI68 AL68">
    <cfRule type="cellIs" dxfId="28" priority="14" operator="lessThan">
      <formula>0</formula>
    </cfRule>
  </conditionalFormatting>
  <conditionalFormatting sqref="AY68:AZ68">
    <cfRule type="cellIs" dxfId="27" priority="12" operator="greaterThan">
      <formula>0</formula>
    </cfRule>
    <cfRule type="cellIs" dxfId="26" priority="13" operator="lessThan">
      <formula>0</formula>
    </cfRule>
  </conditionalFormatting>
  <conditionalFormatting sqref="AM68">
    <cfRule type="cellIs" dxfId="25" priority="11" operator="lessThan">
      <formula>0</formula>
    </cfRule>
  </conditionalFormatting>
  <conditionalFormatting sqref="AN68">
    <cfRule type="cellIs" dxfId="24" priority="10" operator="lessThan">
      <formula>0</formula>
    </cfRule>
  </conditionalFormatting>
  <conditionalFormatting sqref="AO68">
    <cfRule type="cellIs" dxfId="23" priority="9" operator="lessThan">
      <formula>0</formula>
    </cfRule>
  </conditionalFormatting>
  <conditionalFormatting sqref="AP68">
    <cfRule type="cellIs" dxfId="22" priority="8" operator="lessThan">
      <formula>0</formula>
    </cfRule>
  </conditionalFormatting>
  <conditionalFormatting sqref="AQ68">
    <cfRule type="cellIs" dxfId="21" priority="7" operator="lessThan">
      <formula>0</formula>
    </cfRule>
  </conditionalFormatting>
  <conditionalFormatting sqref="AR68">
    <cfRule type="cellIs" dxfId="20" priority="6" operator="lessThan">
      <formula>0</formula>
    </cfRule>
  </conditionalFormatting>
  <conditionalFormatting sqref="AS68">
    <cfRule type="cellIs" dxfId="19" priority="5" operator="lessThan">
      <formula>0</formula>
    </cfRule>
  </conditionalFormatting>
  <conditionalFormatting sqref="AT68">
    <cfRule type="cellIs" dxfId="18" priority="4" operator="lessThan">
      <formula>0</formula>
    </cfRule>
  </conditionalFormatting>
  <conditionalFormatting sqref="AU68">
    <cfRule type="cellIs" dxfId="17" priority="3" operator="lessThan">
      <formula>0</formula>
    </cfRule>
  </conditionalFormatting>
  <conditionalFormatting sqref="AV68">
    <cfRule type="cellIs" dxfId="16" priority="2" operator="lessThan">
      <formula>0</formula>
    </cfRule>
  </conditionalFormatting>
  <conditionalFormatting sqref="AW68">
    <cfRule type="cellIs" dxfId="15" priority="1" operator="lessThan">
      <formula>0</formula>
    </cfRule>
  </conditionalFormatting>
  <dataValidations count="2">
    <dataValidation type="list" sqref="BB8:BB56 BB64:BB68 BB58:BB61" xr:uid="{18AD69D9-23FC-4160-B4CD-B4829C3F53B3}">
      <formula1>"Rascunho,Em revisão,Finalizado"</formula1>
    </dataValidation>
    <dataValidation sqref="G8:G56 G58:G68" xr:uid="{E4104662-CD33-4D8C-A009-5A26F8284496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D5C7-C4AB-4449-B246-FB6403DD9D2D}">
  <dimension ref="A1:M30"/>
  <sheetViews>
    <sheetView workbookViewId="0">
      <selection activeCell="A4" sqref="A4"/>
    </sheetView>
  </sheetViews>
  <sheetFormatPr defaultRowHeight="15"/>
  <cols>
    <col min="1" max="1" width="48" customWidth="1"/>
    <col min="2" max="2" width="42.42578125" customWidth="1"/>
    <col min="3" max="3" width="52.85546875" style="33" customWidth="1"/>
    <col min="4" max="6" width="11.140625" style="31" bestFit="1" customWidth="1"/>
    <col min="7" max="7" width="11.42578125" style="31" bestFit="1" customWidth="1"/>
    <col min="8" max="8" width="18" style="32" bestFit="1" customWidth="1"/>
    <col min="9" max="9" width="10.28515625" bestFit="1" customWidth="1"/>
    <col min="10" max="10" width="17.85546875" customWidth="1"/>
    <col min="11" max="11" width="16.42578125" style="33" customWidth="1"/>
    <col min="12" max="12" width="24.42578125" style="33" customWidth="1"/>
    <col min="13" max="13" width="16.7109375" customWidth="1"/>
  </cols>
  <sheetData>
    <row r="1" spans="1:13">
      <c r="A1" s="35" t="s">
        <v>648</v>
      </c>
      <c r="B1" s="35" t="s">
        <v>649</v>
      </c>
      <c r="C1" s="36" t="s">
        <v>650</v>
      </c>
      <c r="D1" s="37" t="s">
        <v>651</v>
      </c>
      <c r="E1" s="37" t="s">
        <v>652</v>
      </c>
      <c r="F1" s="37" t="s">
        <v>653</v>
      </c>
      <c r="G1" s="37" t="s">
        <v>654</v>
      </c>
      <c r="H1" s="38" t="s">
        <v>655</v>
      </c>
      <c r="I1" s="35" t="s">
        <v>656</v>
      </c>
      <c r="J1" s="35" t="s">
        <v>657</v>
      </c>
      <c r="K1" s="36" t="s">
        <v>658</v>
      </c>
      <c r="L1" s="36" t="s">
        <v>659</v>
      </c>
      <c r="M1" s="35" t="s">
        <v>660</v>
      </c>
    </row>
    <row r="2" spans="1:13">
      <c r="A2" s="42" t="s">
        <v>661</v>
      </c>
      <c r="B2" s="42" t="s">
        <v>662</v>
      </c>
      <c r="C2" s="43" t="s">
        <v>663</v>
      </c>
      <c r="D2" s="44">
        <v>46181</v>
      </c>
      <c r="E2" s="44">
        <v>46912</v>
      </c>
      <c r="F2" s="44"/>
      <c r="G2" s="44" t="s">
        <v>664</v>
      </c>
      <c r="H2" s="45">
        <v>664</v>
      </c>
      <c r="I2" s="42" t="s">
        <v>665</v>
      </c>
      <c r="J2" s="45">
        <f>Tabela1[[#This Row],[Vlr atual]]*1.0411</f>
        <v>691.29039999999998</v>
      </c>
      <c r="K2" s="43"/>
      <c r="L2" s="43"/>
      <c r="M2" s="42"/>
    </row>
    <row r="3" spans="1:13">
      <c r="A3" s="42" t="s">
        <v>666</v>
      </c>
      <c r="B3" s="42" t="s">
        <v>667</v>
      </c>
      <c r="C3" s="43" t="s">
        <v>668</v>
      </c>
      <c r="D3" s="44">
        <v>46238</v>
      </c>
      <c r="E3" s="44">
        <v>46603</v>
      </c>
      <c r="F3" s="44"/>
      <c r="G3" s="44"/>
      <c r="H3" s="45">
        <v>1670</v>
      </c>
      <c r="I3" s="42" t="s">
        <v>669</v>
      </c>
      <c r="J3" s="45">
        <f>Tabela1[[#This Row],[Vlr atual]]*1.0411</f>
        <v>1738.6369999999999</v>
      </c>
      <c r="K3" s="43"/>
      <c r="L3" s="43" t="s">
        <v>670</v>
      </c>
      <c r="M3" s="42"/>
    </row>
    <row r="4" spans="1:13" ht="29.25">
      <c r="A4" s="42" t="s">
        <v>671</v>
      </c>
      <c r="B4" s="42" t="s">
        <v>672</v>
      </c>
      <c r="C4" s="43" t="s">
        <v>673</v>
      </c>
      <c r="D4" s="44">
        <v>46049</v>
      </c>
      <c r="E4" s="44">
        <v>47145</v>
      </c>
      <c r="F4" s="44"/>
      <c r="G4" s="44"/>
      <c r="H4" s="45">
        <v>31010.84</v>
      </c>
      <c r="I4" s="42" t="s">
        <v>674</v>
      </c>
      <c r="J4" s="45">
        <f>Tabela1[[#This Row],[Vlr atual]]*1.0411</f>
        <v>32285.385523999998</v>
      </c>
      <c r="K4" s="43"/>
      <c r="L4" s="43" t="s">
        <v>675</v>
      </c>
      <c r="M4" s="42"/>
    </row>
    <row r="5" spans="1:13">
      <c r="A5" s="42" t="s">
        <v>671</v>
      </c>
      <c r="B5" s="42" t="s">
        <v>676</v>
      </c>
      <c r="C5" s="43" t="s">
        <v>677</v>
      </c>
      <c r="D5" s="44">
        <v>46153</v>
      </c>
      <c r="E5" s="44">
        <v>46517</v>
      </c>
      <c r="F5" s="44"/>
      <c r="G5" s="44"/>
      <c r="H5" s="45">
        <v>1560</v>
      </c>
      <c r="I5" s="42" t="s">
        <v>669</v>
      </c>
      <c r="J5" s="45">
        <v>1250</v>
      </c>
      <c r="K5" s="43"/>
      <c r="L5" s="43" t="s">
        <v>678</v>
      </c>
      <c r="M5" s="42"/>
    </row>
    <row r="6" spans="1:13">
      <c r="A6" s="42" t="s">
        <v>679</v>
      </c>
      <c r="B6" s="42" t="s">
        <v>680</v>
      </c>
      <c r="C6" s="43" t="s">
        <v>681</v>
      </c>
      <c r="D6" s="44" t="s">
        <v>682</v>
      </c>
      <c r="E6" s="44">
        <v>46626</v>
      </c>
      <c r="F6" s="44"/>
      <c r="G6" s="44" t="s">
        <v>683</v>
      </c>
      <c r="H6" s="45">
        <v>822.61</v>
      </c>
      <c r="I6" s="42" t="s">
        <v>669</v>
      </c>
      <c r="J6" s="45">
        <f>Tabela1[[#This Row],[Vlr atual]]*1.0411</f>
        <v>856.41927099999998</v>
      </c>
      <c r="K6" s="43" t="s">
        <v>684</v>
      </c>
      <c r="L6" s="43" t="s">
        <v>685</v>
      </c>
      <c r="M6" s="42"/>
    </row>
    <row r="7" spans="1:13">
      <c r="A7" s="39" t="s">
        <v>686</v>
      </c>
      <c r="B7" s="39"/>
      <c r="C7" s="34" t="s">
        <v>687</v>
      </c>
      <c r="D7" s="40">
        <v>45853</v>
      </c>
      <c r="E7" s="40">
        <v>46217</v>
      </c>
      <c r="F7" s="40"/>
      <c r="G7" s="40" t="s">
        <v>688</v>
      </c>
      <c r="H7" s="41">
        <v>1370</v>
      </c>
      <c r="I7" s="39" t="s">
        <v>689</v>
      </c>
      <c r="J7" s="41">
        <f>Tabela1[[#This Row],[Vlr atual]]*1.0411</f>
        <v>1426.3069999999998</v>
      </c>
      <c r="K7" s="34" t="s">
        <v>684</v>
      </c>
      <c r="L7" s="34" t="s">
        <v>690</v>
      </c>
      <c r="M7" s="39" t="s">
        <v>691</v>
      </c>
    </row>
    <row r="8" spans="1:13">
      <c r="A8" s="39" t="s">
        <v>692</v>
      </c>
      <c r="B8" s="39" t="s">
        <v>693</v>
      </c>
      <c r="C8" s="34" t="s">
        <v>694</v>
      </c>
      <c r="D8" s="40">
        <v>46156</v>
      </c>
      <c r="E8" s="40">
        <v>46520</v>
      </c>
      <c r="F8" s="40"/>
      <c r="G8" s="40"/>
      <c r="H8" s="41">
        <v>1800</v>
      </c>
      <c r="I8" s="39" t="s">
        <v>669</v>
      </c>
      <c r="J8" s="41">
        <f>Tabela1[[#This Row],[Vlr atual]]*1.0411</f>
        <v>1873.9799999999998</v>
      </c>
      <c r="K8" s="34"/>
      <c r="L8" s="34"/>
      <c r="M8" s="39"/>
    </row>
    <row r="9" spans="1:13">
      <c r="A9" s="39" t="s">
        <v>695</v>
      </c>
      <c r="B9" s="39" t="s">
        <v>696</v>
      </c>
      <c r="C9" s="34" t="s">
        <v>697</v>
      </c>
      <c r="D9" s="40">
        <v>45798</v>
      </c>
      <c r="E9" s="40">
        <v>47623</v>
      </c>
      <c r="F9" s="40"/>
      <c r="G9" s="40"/>
      <c r="H9" s="41">
        <v>10980</v>
      </c>
      <c r="I9" s="39"/>
      <c r="J9" s="41">
        <f>Tabela1[[#This Row],[Vlr atual]]*1.0411</f>
        <v>11431.277999999998</v>
      </c>
      <c r="K9" s="34"/>
      <c r="L9" s="34"/>
      <c r="M9" s="39"/>
    </row>
    <row r="10" spans="1:13">
      <c r="A10" s="39" t="s">
        <v>698</v>
      </c>
      <c r="B10" s="39" t="s">
        <v>699</v>
      </c>
      <c r="C10" s="34" t="s">
        <v>700</v>
      </c>
      <c r="D10" s="40">
        <v>45566</v>
      </c>
      <c r="E10" s="40">
        <v>46691</v>
      </c>
      <c r="F10" s="40"/>
      <c r="G10" s="40"/>
      <c r="H10" s="41">
        <v>0</v>
      </c>
      <c r="I10" s="39" t="s">
        <v>665</v>
      </c>
      <c r="J10" s="41">
        <f>Tabela1[[#This Row],[Vlr atual]]*1.0411</f>
        <v>0</v>
      </c>
      <c r="K10" s="34"/>
      <c r="L10" s="34"/>
      <c r="M10" s="39"/>
    </row>
    <row r="11" spans="1:13">
      <c r="A11" s="39" t="s">
        <v>698</v>
      </c>
      <c r="B11" s="39" t="s">
        <v>701</v>
      </c>
      <c r="C11" s="34" t="s">
        <v>702</v>
      </c>
      <c r="D11" s="40">
        <v>46095</v>
      </c>
      <c r="E11" s="40">
        <v>46825</v>
      </c>
      <c r="F11" s="40"/>
      <c r="G11" s="40"/>
      <c r="H11" s="41">
        <v>1241.48</v>
      </c>
      <c r="I11" s="39" t="s">
        <v>665</v>
      </c>
      <c r="J11" s="41">
        <f>Tabela1[[#This Row],[Vlr atual]]*1.0411</f>
        <v>1292.5048279999999</v>
      </c>
      <c r="K11" s="34"/>
      <c r="L11" s="34"/>
      <c r="M11" s="39"/>
    </row>
    <row r="12" spans="1:13" ht="72.75">
      <c r="A12" s="42" t="s">
        <v>703</v>
      </c>
      <c r="B12" s="42" t="s">
        <v>703</v>
      </c>
      <c r="C12" s="43" t="s">
        <v>704</v>
      </c>
      <c r="D12" s="44">
        <v>45376</v>
      </c>
      <c r="E12" s="44">
        <v>46470</v>
      </c>
      <c r="F12" s="44">
        <v>46357</v>
      </c>
      <c r="G12" s="44" t="s">
        <v>705</v>
      </c>
      <c r="H12" s="45">
        <v>28008.13</v>
      </c>
      <c r="I12" s="42" t="s">
        <v>674</v>
      </c>
      <c r="J12" s="45">
        <f>36800*1.0411</f>
        <v>38312.479999999996</v>
      </c>
      <c r="K12" s="43" t="s">
        <v>706</v>
      </c>
      <c r="L12" s="43" t="s">
        <v>707</v>
      </c>
      <c r="M12" s="42"/>
    </row>
    <row r="13" spans="1:13">
      <c r="A13" s="42" t="s">
        <v>708</v>
      </c>
      <c r="B13" s="42" t="s">
        <v>709</v>
      </c>
      <c r="C13" s="43" t="s">
        <v>710</v>
      </c>
      <c r="D13" s="44">
        <v>46027</v>
      </c>
      <c r="E13" s="44">
        <v>46752</v>
      </c>
      <c r="F13" s="44"/>
      <c r="G13" s="44" t="s">
        <v>683</v>
      </c>
      <c r="H13" s="45">
        <v>15251</v>
      </c>
      <c r="I13" s="42" t="s">
        <v>665</v>
      </c>
      <c r="J13" s="45">
        <f>Tabela1[[#This Row],[Vlr atual]]*1.0411</f>
        <v>15877.816099999998</v>
      </c>
      <c r="K13" s="43" t="s">
        <v>684</v>
      </c>
      <c r="L13" s="43" t="s">
        <v>685</v>
      </c>
      <c r="M13" s="42"/>
    </row>
    <row r="14" spans="1:13">
      <c r="A14" s="39" t="s">
        <v>708</v>
      </c>
      <c r="B14" s="39" t="s">
        <v>711</v>
      </c>
      <c r="C14" s="34" t="s">
        <v>712</v>
      </c>
      <c r="D14" s="40">
        <v>46036</v>
      </c>
      <c r="E14" s="40">
        <v>46401</v>
      </c>
      <c r="F14" s="40"/>
      <c r="G14" s="40" t="s">
        <v>683</v>
      </c>
      <c r="H14" s="41">
        <v>40233.24</v>
      </c>
      <c r="I14" s="39" t="s">
        <v>669</v>
      </c>
      <c r="J14" s="41">
        <f>Tabela1[[#This Row],[Vlr atual]]*1.0411</f>
        <v>41886.826163999991</v>
      </c>
      <c r="K14" s="34"/>
      <c r="L14" s="34"/>
      <c r="M14" s="39"/>
    </row>
    <row r="15" spans="1:13" ht="29.25">
      <c r="A15" s="39" t="s">
        <v>708</v>
      </c>
      <c r="B15" s="39" t="s">
        <v>713</v>
      </c>
      <c r="C15" s="34" t="s">
        <v>714</v>
      </c>
      <c r="D15" s="40">
        <v>46108</v>
      </c>
      <c r="E15" s="40">
        <v>46387</v>
      </c>
      <c r="F15" s="40"/>
      <c r="G15" s="40"/>
      <c r="H15" s="41">
        <v>19215.39</v>
      </c>
      <c r="I15" s="39" t="s">
        <v>669</v>
      </c>
      <c r="J15" s="41">
        <f>Tabela1[[#This Row],[Vlr atual]]*1.0411</f>
        <v>20005.142528999997</v>
      </c>
      <c r="K15" s="34"/>
      <c r="L15" s="34"/>
      <c r="M15" s="39"/>
    </row>
    <row r="16" spans="1:13" ht="29.25">
      <c r="A16" s="39" t="s">
        <v>708</v>
      </c>
      <c r="B16" s="39" t="s">
        <v>715</v>
      </c>
      <c r="C16" s="34" t="s">
        <v>716</v>
      </c>
      <c r="D16" s="40">
        <v>46245</v>
      </c>
      <c r="E16" s="40">
        <v>46367</v>
      </c>
      <c r="F16" s="40"/>
      <c r="G16" s="40"/>
      <c r="H16" s="41">
        <v>4200</v>
      </c>
      <c r="I16" s="39"/>
      <c r="J16" s="41">
        <f>Tabela1[[#This Row],[Vlr atual]]*1.0411</f>
        <v>4372.62</v>
      </c>
      <c r="K16" s="34"/>
      <c r="L16" s="34"/>
      <c r="M16" s="39"/>
    </row>
    <row r="17" spans="1:13" ht="29.25">
      <c r="A17" s="39" t="s">
        <v>717</v>
      </c>
      <c r="B17" s="39" t="s">
        <v>718</v>
      </c>
      <c r="C17" s="34" t="s">
        <v>719</v>
      </c>
      <c r="D17" s="40">
        <v>45440</v>
      </c>
      <c r="E17" s="40">
        <v>46535</v>
      </c>
      <c r="F17" s="40"/>
      <c r="G17" s="40"/>
      <c r="H17" s="41">
        <v>4668.28</v>
      </c>
      <c r="I17" s="39" t="s">
        <v>674</v>
      </c>
      <c r="J17" s="41">
        <f>Tabela1[[#This Row],[Vlr atual]]*1.0411</f>
        <v>4860.1463079999994</v>
      </c>
      <c r="K17" s="34"/>
      <c r="L17" s="34"/>
      <c r="M17" s="39"/>
    </row>
    <row r="18" spans="1:13" ht="29.25">
      <c r="A18" s="42" t="s">
        <v>717</v>
      </c>
      <c r="B18" s="42" t="s">
        <v>720</v>
      </c>
      <c r="C18" s="43" t="s">
        <v>721</v>
      </c>
      <c r="D18" s="44">
        <v>46065</v>
      </c>
      <c r="E18" s="44">
        <v>47161</v>
      </c>
      <c r="F18" s="44"/>
      <c r="G18" s="44" t="s">
        <v>705</v>
      </c>
      <c r="H18" s="45">
        <v>6474.09</v>
      </c>
      <c r="I18" s="42" t="s">
        <v>674</v>
      </c>
      <c r="J18" s="45">
        <f>Tabela1[[#This Row],[Vlr atual]]*1.0411</f>
        <v>6740.175099</v>
      </c>
      <c r="K18" s="43" t="s">
        <v>722</v>
      </c>
      <c r="L18" s="43" t="s">
        <v>723</v>
      </c>
      <c r="M18" s="43"/>
    </row>
    <row r="19" spans="1:13" ht="29.25">
      <c r="A19" s="42" t="s">
        <v>724</v>
      </c>
      <c r="B19" s="42" t="s">
        <v>725</v>
      </c>
      <c r="C19" s="43" t="s">
        <v>726</v>
      </c>
      <c r="D19" s="44">
        <v>45931</v>
      </c>
      <c r="E19" s="44">
        <v>46295</v>
      </c>
      <c r="F19" s="44"/>
      <c r="G19" s="44" t="s">
        <v>683</v>
      </c>
      <c r="H19" s="45">
        <v>21970.639999999999</v>
      </c>
      <c r="I19" s="42" t="s">
        <v>669</v>
      </c>
      <c r="J19" s="45">
        <f>Tabela1[[#This Row],[Vlr atual]]*1.0411</f>
        <v>22873.633303999999</v>
      </c>
      <c r="K19" s="43"/>
      <c r="L19" s="43" t="s">
        <v>727</v>
      </c>
      <c r="M19" s="42"/>
    </row>
    <row r="20" spans="1:13" ht="29.25">
      <c r="A20" s="42" t="s">
        <v>728</v>
      </c>
      <c r="B20" s="42"/>
      <c r="C20" s="43" t="s">
        <v>729</v>
      </c>
      <c r="D20" s="44"/>
      <c r="E20" s="44"/>
      <c r="F20" s="44"/>
      <c r="G20" s="44">
        <v>46295</v>
      </c>
      <c r="H20" s="45">
        <v>1100</v>
      </c>
      <c r="I20" s="42" t="s">
        <v>689</v>
      </c>
      <c r="J20" s="45">
        <f>Tabela1[[#This Row],[Vlr atual]]*1.0411</f>
        <v>1145.2099999999998</v>
      </c>
      <c r="K20" s="43"/>
      <c r="L20" s="43" t="s">
        <v>730</v>
      </c>
      <c r="M20" s="42" t="s">
        <v>731</v>
      </c>
    </row>
    <row r="21" spans="1:13" ht="72.75">
      <c r="A21" s="42" t="s">
        <v>732</v>
      </c>
      <c r="B21" s="42" t="s">
        <v>733</v>
      </c>
      <c r="C21" s="43" t="s">
        <v>734</v>
      </c>
      <c r="D21" s="44">
        <v>46082</v>
      </c>
      <c r="E21" s="44">
        <v>46477</v>
      </c>
      <c r="F21" s="44"/>
      <c r="G21" s="44">
        <v>46419</v>
      </c>
      <c r="H21" s="45">
        <v>5014.46</v>
      </c>
      <c r="I21" s="42" t="s">
        <v>669</v>
      </c>
      <c r="J21" s="45">
        <f>Tabela1[[#This Row],[Vlr atual]]*1.0411</f>
        <v>5220.554306</v>
      </c>
      <c r="K21" s="43" t="s">
        <v>735</v>
      </c>
      <c r="L21" s="43" t="s">
        <v>736</v>
      </c>
      <c r="M21" s="42"/>
    </row>
    <row r="22" spans="1:13">
      <c r="A22" s="39" t="s">
        <v>737</v>
      </c>
      <c r="B22" s="39" t="s">
        <v>738</v>
      </c>
      <c r="C22" s="34" t="s">
        <v>739</v>
      </c>
      <c r="D22" s="40">
        <v>46205</v>
      </c>
      <c r="E22" s="40">
        <v>72868</v>
      </c>
      <c r="F22" s="40"/>
      <c r="G22" s="40"/>
      <c r="H22" s="41">
        <v>2686.86</v>
      </c>
      <c r="I22" s="39"/>
      <c r="J22" s="41">
        <f>Tabela1[[#This Row],[Vlr atual]]*1.0411</f>
        <v>2797.2899459999999</v>
      </c>
      <c r="K22" s="34"/>
      <c r="L22" s="34"/>
      <c r="M22" s="39"/>
    </row>
    <row r="23" spans="1:13" s="58" customFormat="1" ht="29.25">
      <c r="A23" s="42" t="s">
        <v>740</v>
      </c>
      <c r="B23" s="42" t="s">
        <v>741</v>
      </c>
      <c r="C23" s="43" t="s">
        <v>742</v>
      </c>
      <c r="D23" s="44">
        <v>45217</v>
      </c>
      <c r="E23" s="44">
        <v>46313</v>
      </c>
      <c r="F23" s="44"/>
      <c r="G23" s="44"/>
      <c r="H23" s="45">
        <v>1900</v>
      </c>
      <c r="I23" s="42" t="s">
        <v>674</v>
      </c>
      <c r="J23" s="45">
        <f>Tabela1[[#This Row],[Vlr atual]]*1.0411</f>
        <v>1978.09</v>
      </c>
      <c r="K23" s="43"/>
      <c r="L23" s="43" t="s">
        <v>743</v>
      </c>
      <c r="M23" s="42"/>
    </row>
    <row r="24" spans="1:13" s="58" customFormat="1" ht="29.25">
      <c r="A24" s="42" t="s">
        <v>740</v>
      </c>
      <c r="B24" s="42" t="s">
        <v>744</v>
      </c>
      <c r="C24" s="43" t="s">
        <v>745</v>
      </c>
      <c r="D24" s="44">
        <v>45352</v>
      </c>
      <c r="E24" s="44">
        <v>46447</v>
      </c>
      <c r="F24" s="44" t="s">
        <v>746</v>
      </c>
      <c r="G24" s="44"/>
      <c r="H24" s="45">
        <v>930</v>
      </c>
      <c r="I24" s="42" t="s">
        <v>674</v>
      </c>
      <c r="J24" s="45">
        <f>Tabela1[[#This Row],[Vlr atual]]*1.0411</f>
        <v>968.22299999999996</v>
      </c>
      <c r="K24" s="43"/>
      <c r="L24" s="43" t="s">
        <v>743</v>
      </c>
      <c r="M24" s="42"/>
    </row>
    <row r="25" spans="1:13">
      <c r="A25" s="39" t="s">
        <v>740</v>
      </c>
      <c r="B25" s="39" t="s">
        <v>747</v>
      </c>
      <c r="C25" s="34" t="s">
        <v>748</v>
      </c>
      <c r="D25" s="40">
        <v>46035</v>
      </c>
      <c r="E25" s="40">
        <v>46765</v>
      </c>
      <c r="F25" s="40"/>
      <c r="G25" s="40"/>
      <c r="H25" s="41">
        <v>195.96</v>
      </c>
      <c r="I25" s="39" t="s">
        <v>665</v>
      </c>
      <c r="J25" s="41">
        <f>Tabela1[[#This Row],[Vlr atual]]*1.0411</f>
        <v>204.01395599999998</v>
      </c>
      <c r="K25" s="34"/>
      <c r="L25" s="34"/>
      <c r="M25" s="39"/>
    </row>
    <row r="26" spans="1:13">
      <c r="A26" s="39" t="s">
        <v>740</v>
      </c>
      <c r="B26" s="39" t="s">
        <v>749</v>
      </c>
      <c r="C26" s="34" t="s">
        <v>750</v>
      </c>
      <c r="D26" s="40">
        <v>46035</v>
      </c>
      <c r="E26" s="40">
        <v>46765</v>
      </c>
      <c r="F26" s="40"/>
      <c r="G26" s="40"/>
      <c r="H26" s="41">
        <v>146.97</v>
      </c>
      <c r="I26" s="39" t="s">
        <v>665</v>
      </c>
      <c r="J26" s="41">
        <f>Tabela1[[#This Row],[Vlr atual]]*1.0411</f>
        <v>153.01046699999998</v>
      </c>
      <c r="K26" s="34"/>
      <c r="L26" s="34"/>
      <c r="M26" s="39"/>
    </row>
    <row r="27" spans="1:13">
      <c r="A27" s="39" t="s">
        <v>740</v>
      </c>
      <c r="B27" s="39" t="s">
        <v>751</v>
      </c>
      <c r="C27" s="34" t="s">
        <v>752</v>
      </c>
      <c r="D27" s="40">
        <v>46036</v>
      </c>
      <c r="E27" s="40">
        <v>46766</v>
      </c>
      <c r="F27" s="40"/>
      <c r="G27" s="40"/>
      <c r="H27" s="41">
        <v>538.89</v>
      </c>
      <c r="I27" s="39" t="s">
        <v>665</v>
      </c>
      <c r="J27" s="41">
        <f>Tabela1[[#This Row],[Vlr atual]]*1.0411</f>
        <v>561.03837899999996</v>
      </c>
      <c r="K27" s="34"/>
      <c r="L27" s="34"/>
      <c r="M27" s="39"/>
    </row>
    <row r="28" spans="1:13" ht="29.25">
      <c r="A28" s="39" t="s">
        <v>740</v>
      </c>
      <c r="B28" s="39" t="s">
        <v>751</v>
      </c>
      <c r="C28" s="34" t="s">
        <v>753</v>
      </c>
      <c r="D28" s="40">
        <v>46119</v>
      </c>
      <c r="E28" s="40">
        <v>46850</v>
      </c>
      <c r="F28" s="40"/>
      <c r="G28" s="40"/>
      <c r="H28" s="41">
        <v>2400.5100000000002</v>
      </c>
      <c r="I28" s="39" t="s">
        <v>665</v>
      </c>
      <c r="J28" s="41">
        <f>Tabela1[[#This Row],[Vlr atual]]*1.0411</f>
        <v>2499.1709609999998</v>
      </c>
      <c r="K28" s="34"/>
      <c r="L28" s="34"/>
      <c r="M28" s="39"/>
    </row>
    <row r="29" spans="1:13">
      <c r="A29" s="39" t="s">
        <v>740</v>
      </c>
      <c r="B29" s="39" t="s">
        <v>754</v>
      </c>
      <c r="C29" s="34" t="s">
        <v>755</v>
      </c>
      <c r="D29" s="40">
        <v>46244</v>
      </c>
      <c r="E29" s="40">
        <v>46975</v>
      </c>
      <c r="F29" s="40"/>
      <c r="G29" s="40"/>
      <c r="H29" s="41">
        <v>48.99</v>
      </c>
      <c r="I29" s="39" t="s">
        <v>665</v>
      </c>
      <c r="J29" s="41">
        <f>Tabela1[[#This Row],[Vlr atual]]*1.0411</f>
        <v>51.003488999999995</v>
      </c>
      <c r="K29" s="34"/>
      <c r="L29" s="34"/>
      <c r="M29" s="39"/>
    </row>
    <row r="30" spans="1:13" ht="57.75">
      <c r="A30" s="42" t="s">
        <v>756</v>
      </c>
      <c r="B30" s="42" t="s">
        <v>757</v>
      </c>
      <c r="C30" s="43" t="s">
        <v>758</v>
      </c>
      <c r="D30" s="44">
        <v>45201</v>
      </c>
      <c r="E30" s="44">
        <v>46297</v>
      </c>
      <c r="F30" s="44"/>
      <c r="G30" s="44"/>
      <c r="H30" s="45">
        <v>71786.33</v>
      </c>
      <c r="I30" s="42" t="s">
        <v>674</v>
      </c>
      <c r="J30" s="45">
        <f>Tabela1[[#This Row],[Vlr atual]]*1.0411</f>
        <v>74736.748162999997</v>
      </c>
      <c r="K30" s="43"/>
      <c r="L30" s="43" t="s">
        <v>759</v>
      </c>
      <c r="M30" s="4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 Salvador</dc:creator>
  <cp:keywords/>
  <dc:description/>
  <cp:lastModifiedBy/>
  <cp:revision/>
  <dcterms:created xsi:type="dcterms:W3CDTF">2026-09-18T13:19:30Z</dcterms:created>
  <dcterms:modified xsi:type="dcterms:W3CDTF">2026-10-06T14:13:39Z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9f0251-564e-4ff1-bc4d-de647f716292_Enabled">
    <vt:lpwstr>true</vt:lpwstr>
  </property>
  <property fmtid="{D5CDD505-2E9C-101B-9397-08002B2CF9AE}" pid="3" name="MSIP_Label_fe9f0251-564e-4ff1-bc4d-de647f716292_SetDate">
    <vt:lpwstr>2026-09-24T17:33:30Z</vt:lpwstr>
  </property>
  <property fmtid="{D5CDD505-2E9C-101B-9397-08002B2CF9AE}" pid="4" name="MSIP_Label_fe9f0251-564e-4ff1-bc4d-de647f716292_Method">
    <vt:lpwstr>Standard</vt:lpwstr>
  </property>
  <property fmtid="{D5CDD505-2E9C-101B-9397-08002B2CF9AE}" pid="5" name="MSIP_Label_fe9f0251-564e-4ff1-bc4d-de647f716292_Name">
    <vt:lpwstr>UsoInterno</vt:lpwstr>
  </property>
  <property fmtid="{D5CDD505-2E9C-101B-9397-08002B2CF9AE}" pid="6" name="MSIP_Label_fe9f0251-564e-4ff1-bc4d-de647f716292_SiteId">
    <vt:lpwstr>9b42bd5a-841e-4a2b-b698-a866665cf910</vt:lpwstr>
  </property>
  <property fmtid="{D5CDD505-2E9C-101B-9397-08002B2CF9AE}" pid="7" name="MSIP_Label_fe9f0251-564e-4ff1-bc4d-de647f716292_ActionId">
    <vt:lpwstr>aecc90d5-f21c-4b9c-abd4-428b4356bada</vt:lpwstr>
  </property>
  <property fmtid="{D5CDD505-2E9C-101B-9397-08002B2CF9AE}" pid="8" name="MSIP_Label_fe9f0251-564e-4ff1-bc4d-de647f716292_ContentBits">
    <vt:lpwstr>0</vt:lpwstr>
  </property>
  <property fmtid="{D5CDD505-2E9C-101B-9397-08002B2CF9AE}" pid="9" name="MSIP_Label_fe9f0251-564e-4ff1-bc4d-de647f716292_Tag">
    <vt:lpwstr>10, 3, 0, 2</vt:lpwstr>
  </property>
</Properties>
</file>